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webextensions/webextension1.xml" ContentType="application/vnd.ms-office.webextensio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fileSharing readOnlyRecommended="1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simplywardrobes.sharepoint.com/Sales/Sales Pricing/Sales Pricing 2025/"/>
    </mc:Choice>
  </mc:AlternateContent>
  <xr:revisionPtr revIDLastSave="0" documentId="13_ncr:1_{C579A559-ABDF-45E3-86EE-4B55D51C3CAA}" xr6:coauthVersionLast="47" xr6:coauthVersionMax="47" xr10:uidLastSave="{00000000-0000-0000-0000-000000000000}"/>
  <bookViews>
    <workbookView xWindow="-110" yWindow="-110" windowWidth="38620" windowHeight="21100" tabRatio="805" activeTab="4" xr2:uid="{00000000-000D-0000-FFFF-FFFF00000000}"/>
  </bookViews>
  <sheets>
    <sheet name="Job Details Install" sheetId="29" r:id="rId1"/>
    <sheet name="Dispatch Slip" sheetId="30" r:id="rId2"/>
    <sheet name="Install " sheetId="18" r:id="rId3"/>
    <sheet name="iRobe WIR" sheetId="28" r:id="rId4"/>
    <sheet name="I Robe Set Combos" sheetId="19" r:id="rId5"/>
    <sheet name="iRobe PickSheet" sheetId="1" r:id="rId6"/>
    <sheet name="i-Robe Shipping" sheetId="27" r:id="rId7"/>
    <sheet name="IR Premium" sheetId="17" r:id="rId8"/>
    <sheet name="I Robe Flexi" sheetId="26" r:id="rId9"/>
    <sheet name="Cabinet System" sheetId="2" r:id="rId10"/>
    <sheet name="Linen Slatting" sheetId="7" r:id="rId11"/>
    <sheet name="Sliding Doors" sheetId="4" r:id="rId12"/>
    <sheet name="Accessories" sheetId="8" r:id="rId13"/>
    <sheet name="Quote Totals" sheetId="11" r:id="rId14"/>
    <sheet name="Fletcher Doors" sheetId="24" r:id="rId15"/>
    <sheet name="Fletcher IR" sheetId="25" r:id="rId16"/>
    <sheet name="G Land Doors" sheetId="20" r:id="rId17"/>
    <sheet name="G Land IR" sheetId="23" r:id="rId18"/>
    <sheet name="Company terms" sheetId="22" r:id="rId19"/>
    <sheet name="Rules" sheetId="16" r:id="rId20"/>
    <sheet name="Print Out" sheetId="10" r:id="rId21"/>
    <sheet name="Label" sheetId="15" r:id="rId22"/>
  </sheets>
  <definedNames>
    <definedName name="_xlnm.Print_Area" localSheetId="9">'Cabinet System'!$A$1:$F$71</definedName>
    <definedName name="_xlnm.Print_Area" localSheetId="1">'Dispatch Slip'!$A$1:$D$22</definedName>
    <definedName name="_xlnm.Print_Area" localSheetId="5">'iRobe PickSheet'!$A$1:$L$43</definedName>
    <definedName name="_xlnm.Print_Area" localSheetId="0">'Job Details Install'!$A$1:$F$44</definedName>
    <definedName name="_xlnm.Print_Area" localSheetId="13">'Quote Totals'!$B$1:$G$37</definedName>
    <definedName name="_xlnm.Print_Area" localSheetId="11">'Sliding Doors'!$A$1:$I$32,'Sliding Doors'!$Q$1:$Y$34,'Sliding Doors'!$AB$1:$AH$34,'Sliding Doors'!$AM$1:$AQ$34,'Sliding Doors'!$AX$1:$BD$34,'Sliding Doors'!$BI$1:$BO$34,'Sliding Doors'!$BT$1:$BZ$34,'Sliding Doors'!$CE$1:$CK$34,'Sliding Doors'!$CP$1:$CV$34,'Sliding Doors'!$A$43:$F$57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28" l="1"/>
  <c r="X33" i="28"/>
  <c r="W33" i="28"/>
  <c r="V33" i="28"/>
  <c r="U33" i="28"/>
  <c r="O23" i="4"/>
  <c r="O7" i="4"/>
  <c r="G34" i="19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B5" i="1"/>
  <c r="K23" i="1"/>
  <c r="B49" i="2"/>
  <c r="C69" i="2"/>
  <c r="B51" i="2"/>
  <c r="B50" i="2"/>
  <c r="B52" i="2"/>
  <c r="B53" i="2"/>
  <c r="C63" i="2"/>
  <c r="E22" i="2"/>
  <c r="E13" i="2"/>
  <c r="F4" i="4" a="1"/>
  <c r="C12" i="1" l="1"/>
  <c r="C16" i="1"/>
  <c r="C15" i="1"/>
  <c r="C17" i="1"/>
  <c r="D17" i="1" s="1"/>
  <c r="O17" i="1" s="1"/>
  <c r="R17" i="28"/>
  <c r="R33" i="28" s="1"/>
  <c r="R16" i="28"/>
  <c r="R15" i="28"/>
  <c r="C14" i="1"/>
  <c r="R14" i="28"/>
  <c r="C13" i="1"/>
  <c r="D14" i="1"/>
  <c r="O14" i="1" s="1"/>
  <c r="D16" i="1"/>
  <c r="O16" i="1" s="1"/>
  <c r="AB8" i="7"/>
  <c r="AA8" i="7"/>
  <c r="V11" i="7"/>
  <c r="AB11" i="7" s="1"/>
  <c r="Z7" i="7"/>
  <c r="AA7" i="7" s="1"/>
  <c r="W8" i="7"/>
  <c r="Z8" i="7"/>
  <c r="W7" i="7"/>
  <c r="C34" i="19"/>
  <c r="C27" i="19"/>
  <c r="C15" i="19"/>
  <c r="C14" i="19"/>
  <c r="C1" i="30"/>
  <c r="D3" i="30"/>
  <c r="D1" i="29"/>
  <c r="B6" i="30"/>
  <c r="B10" i="30"/>
  <c r="B8" i="30"/>
  <c r="B5" i="28"/>
  <c r="B4" i="28"/>
  <c r="AB13" i="7" l="1"/>
  <c r="L4" i="28"/>
  <c r="B4" i="4"/>
  <c r="B5" i="4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9" i="19"/>
  <c r="H40" i="19"/>
  <c r="H41" i="19"/>
  <c r="H42" i="19"/>
  <c r="H43" i="19"/>
  <c r="H44" i="19"/>
  <c r="H46" i="19"/>
  <c r="H47" i="19"/>
  <c r="H48" i="19"/>
  <c r="H49" i="19"/>
  <c r="H50" i="19"/>
  <c r="H51" i="19"/>
  <c r="H52" i="19"/>
  <c r="H53" i="19"/>
  <c r="H54" i="19"/>
  <c r="H55" i="19"/>
  <c r="H3" i="19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6" i="19"/>
  <c r="I47" i="19"/>
  <c r="I48" i="19"/>
  <c r="I49" i="19"/>
  <c r="I50" i="19"/>
  <c r="I51" i="19"/>
  <c r="I52" i="19"/>
  <c r="I53" i="19"/>
  <c r="I54" i="19"/>
  <c r="I55" i="19"/>
  <c r="I57" i="19" l="1"/>
  <c r="B9" i="1" s="1"/>
  <c r="H57" i="19"/>
  <c r="E16" i="11" s="1"/>
  <c r="V32" i="28"/>
  <c r="W32" i="28"/>
  <c r="X32" i="28"/>
  <c r="Y32" i="28"/>
  <c r="U32" i="28"/>
  <c r="R28" i="28"/>
  <c r="G9" i="28"/>
  <c r="F16" i="11" l="1"/>
  <c r="G16" i="11"/>
  <c r="C28" i="1"/>
  <c r="D28" i="1" s="1"/>
  <c r="O28" i="1" s="1"/>
  <c r="B3" i="1"/>
  <c r="I4" i="1"/>
  <c r="C36" i="4"/>
  <c r="D36" i="4"/>
  <c r="E36" i="4"/>
  <c r="F36" i="4"/>
  <c r="G36" i="4"/>
  <c r="H36" i="4"/>
  <c r="I36" i="4"/>
  <c r="B36" i="4"/>
  <c r="D12" i="4"/>
  <c r="E12" i="4"/>
  <c r="F12" i="4"/>
  <c r="G12" i="4"/>
  <c r="H12" i="4"/>
  <c r="L19" i="27" l="1"/>
  <c r="C10" i="1"/>
  <c r="C9" i="1"/>
  <c r="J47" i="19"/>
  <c r="K47" i="19"/>
  <c r="L47" i="19"/>
  <c r="M47" i="19"/>
  <c r="N47" i="19"/>
  <c r="O47" i="19"/>
  <c r="P47" i="19"/>
  <c r="Q47" i="19"/>
  <c r="R47" i="19"/>
  <c r="S47" i="19"/>
  <c r="T47" i="19"/>
  <c r="U47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G46" i="19"/>
  <c r="G47" i="19"/>
  <c r="G48" i="19"/>
  <c r="G49" i="19"/>
  <c r="G50" i="19"/>
  <c r="G51" i="19"/>
  <c r="G52" i="19"/>
  <c r="G53" i="19"/>
  <c r="G54" i="19"/>
  <c r="G55" i="19"/>
  <c r="G39" i="19"/>
  <c r="G40" i="19"/>
  <c r="G41" i="19"/>
  <c r="G42" i="19"/>
  <c r="G43" i="19"/>
  <c r="G44" i="19"/>
  <c r="C18" i="1"/>
  <c r="AZ10" i="4"/>
  <c r="BK10" i="4"/>
  <c r="BV10" i="4"/>
  <c r="CG10" i="4"/>
  <c r="CR10" i="4"/>
  <c r="AO10" i="4"/>
  <c r="AD10" i="4"/>
  <c r="S10" i="4"/>
  <c r="BD33" i="4"/>
  <c r="BO33" i="4"/>
  <c r="CK33" i="4"/>
  <c r="BZ33" i="4"/>
  <c r="CV33" i="4"/>
  <c r="AQ33" i="4"/>
  <c r="AH33" i="4"/>
  <c r="Y33" i="4"/>
  <c r="AC14" i="4"/>
  <c r="AY16" i="4"/>
  <c r="BA22" i="4"/>
  <c r="CS22" i="4"/>
  <c r="O21" i="4"/>
  <c r="O9" i="4"/>
  <c r="O10" i="4"/>
  <c r="O11" i="4"/>
  <c r="O12" i="4"/>
  <c r="O13" i="4"/>
  <c r="O14" i="4"/>
  <c r="O15" i="4"/>
  <c r="O16" i="4"/>
  <c r="O17" i="4"/>
  <c r="O18" i="4"/>
  <c r="O19" i="4"/>
  <c r="O20" i="4"/>
  <c r="AZ7" i="4"/>
  <c r="BK7" i="4"/>
  <c r="BJ16" i="4"/>
  <c r="BL22" i="4" s="1"/>
  <c r="BU16" i="4"/>
  <c r="BW22" i="4" s="1"/>
  <c r="BV7" i="4"/>
  <c r="AO7" i="4"/>
  <c r="CF16" i="4"/>
  <c r="CH22" i="4" s="1"/>
  <c r="CG7" i="4"/>
  <c r="CQ16" i="4"/>
  <c r="CR7" i="4"/>
  <c r="R16" i="4"/>
  <c r="T22" i="4" s="1"/>
  <c r="R19" i="28" l="1"/>
  <c r="C19" i="1"/>
  <c r="R13" i="28"/>
  <c r="D13" i="1"/>
  <c r="O13" i="1" s="1"/>
  <c r="R12" i="28"/>
  <c r="CK29" i="4"/>
  <c r="Y29" i="4"/>
  <c r="AN16" i="4"/>
  <c r="AD7" i="4"/>
  <c r="AC16" i="4"/>
  <c r="AE22" i="4" s="1"/>
  <c r="S7" i="4"/>
  <c r="CF12" i="4"/>
  <c r="CQ12" i="4"/>
  <c r="K27" i="1"/>
  <c r="K26" i="1"/>
  <c r="H16" i="8"/>
  <c r="H15" i="8"/>
  <c r="K25" i="1"/>
  <c r="K24" i="1"/>
  <c r="I1" i="1"/>
  <c r="A44" i="4"/>
  <c r="B4" i="7"/>
  <c r="B4" i="1"/>
  <c r="CV5" i="4"/>
  <c r="CK5" i="4"/>
  <c r="BZ5" i="4"/>
  <c r="BO5" i="4"/>
  <c r="BD5" i="4"/>
  <c r="AQ5" i="4"/>
  <c r="AH5" i="4"/>
  <c r="Y5" i="4"/>
  <c r="H2" i="4"/>
  <c r="I3" i="7"/>
  <c r="H19" i="27" l="1"/>
  <c r="R3" i="4"/>
  <c r="AC3" i="4"/>
  <c r="AP23" i="4"/>
  <c r="AP24" i="4"/>
  <c r="AP22" i="4"/>
  <c r="I6" i="7"/>
  <c r="CS2" i="4"/>
  <c r="CH2" i="4"/>
  <c r="BW2" i="4"/>
  <c r="BL2" i="4"/>
  <c r="AP2" i="4"/>
  <c r="BA2" i="4"/>
  <c r="AE2" i="4"/>
  <c r="T2" i="4"/>
  <c r="H1" i="4"/>
  <c r="D2" i="1"/>
  <c r="B5" i="29"/>
  <c r="E4" i="8"/>
  <c r="G4" i="7"/>
  <c r="B5" i="2"/>
  <c r="I12" i="17"/>
  <c r="B13" i="17"/>
  <c r="D44" i="4"/>
  <c r="E17" i="11"/>
  <c r="F17" i="11" s="1"/>
  <c r="CF18" i="4"/>
  <c r="CQ18" i="4"/>
  <c r="R18" i="4"/>
  <c r="B45" i="4"/>
  <c r="B46" i="4"/>
  <c r="CS31" i="4"/>
  <c r="CQ14" i="4"/>
  <c r="CS23" i="4"/>
  <c r="AN18" i="4"/>
  <c r="CQ7" i="4"/>
  <c r="CU20" i="4" s="1"/>
  <c r="CQ10" i="4" s="1"/>
  <c r="CP5" i="4"/>
  <c r="CS7" i="4"/>
  <c r="G17" i="11" l="1"/>
  <c r="CV29" i="4"/>
  <c r="CW20" i="4"/>
  <c r="CS10" i="4" s="1"/>
  <c r="CQ22" i="4" s="1"/>
  <c r="CS24" i="4"/>
  <c r="CF7" i="4"/>
  <c r="CJ20" i="4" s="1"/>
  <c r="D54" i="4"/>
  <c r="A54" i="4"/>
  <c r="D53" i="4"/>
  <c r="A53" i="4"/>
  <c r="D52" i="4"/>
  <c r="A52" i="4"/>
  <c r="D51" i="4"/>
  <c r="A51" i="4"/>
  <c r="D50" i="4"/>
  <c r="BD29" i="4"/>
  <c r="A50" i="4"/>
  <c r="CH7" i="4"/>
  <c r="CE5" i="4"/>
  <c r="D49" i="4"/>
  <c r="A49" i="4"/>
  <c r="D48" i="4"/>
  <c r="A48" i="4"/>
  <c r="O22" i="4"/>
  <c r="O8" i="4"/>
  <c r="BO29" i="4"/>
  <c r="CH31" i="4"/>
  <c r="CF14" i="4"/>
  <c r="AX5" i="4"/>
  <c r="BI5" i="4"/>
  <c r="BT5" i="4"/>
  <c r="BU12" i="4"/>
  <c r="BW31" i="4"/>
  <c r="BU14" i="4"/>
  <c r="BU18" i="4"/>
  <c r="BU7" i="4"/>
  <c r="BY20" i="4" s="1"/>
  <c r="BU10" i="4" s="1"/>
  <c r="BW7" i="4"/>
  <c r="BW24" i="4"/>
  <c r="BL31" i="4"/>
  <c r="BJ18" i="4"/>
  <c r="BJ14" i="4"/>
  <c r="BJ12" i="4"/>
  <c r="BJ7" i="4"/>
  <c r="BN20" i="4" s="1"/>
  <c r="BJ10" i="4" s="1"/>
  <c r="BL7" i="4"/>
  <c r="BL24" i="4"/>
  <c r="BA31" i="4"/>
  <c r="AY18" i="4"/>
  <c r="AY14" i="4"/>
  <c r="AY12" i="4"/>
  <c r="AY7" i="4"/>
  <c r="BC20" i="4" s="1"/>
  <c r="AY10" i="4" s="1"/>
  <c r="BA7" i="4"/>
  <c r="AM5" i="4"/>
  <c r="AN12" i="4"/>
  <c r="AN14" i="4"/>
  <c r="AP31" i="4"/>
  <c r="AP7" i="4"/>
  <c r="AN7" i="4"/>
  <c r="AR20" i="4" s="1"/>
  <c r="CS29" i="4" l="1"/>
  <c r="CS33" i="4" s="1"/>
  <c r="AY2" i="4"/>
  <c r="CQ2" i="4"/>
  <c r="CQ23" i="4"/>
  <c r="CQ29" i="4"/>
  <c r="CQ33" i="4" s="1"/>
  <c r="CQ24" i="4"/>
  <c r="BP20" i="4"/>
  <c r="BL10" i="4" s="1"/>
  <c r="BJ22" i="4" s="1"/>
  <c r="CL20" i="4"/>
  <c r="CH10" i="4" s="1"/>
  <c r="CF22" i="4" s="1"/>
  <c r="BE20" i="4"/>
  <c r="BA10" i="4" s="1"/>
  <c r="AY22" i="4" s="1"/>
  <c r="AT20" i="4"/>
  <c r="AP10" i="4" s="1"/>
  <c r="AP29" i="4" s="1"/>
  <c r="AP33" i="4" s="1"/>
  <c r="B50" i="4" s="1"/>
  <c r="BU2" i="4"/>
  <c r="R2" i="4"/>
  <c r="AC2" i="4"/>
  <c r="AN2" i="4"/>
  <c r="CF2" i="4"/>
  <c r="BJ2" i="4"/>
  <c r="CH24" i="4"/>
  <c r="CH23" i="4"/>
  <c r="CF10" i="4"/>
  <c r="CA20" i="4"/>
  <c r="BW10" i="4" s="1"/>
  <c r="BU22" i="4" s="1"/>
  <c r="BW23" i="4"/>
  <c r="BU29" i="4"/>
  <c r="BU33" i="4" s="1"/>
  <c r="C53" i="4" s="1"/>
  <c r="BZ29" i="4"/>
  <c r="BL23" i="4"/>
  <c r="BJ23" i="4"/>
  <c r="AY24" i="4"/>
  <c r="BA23" i="4"/>
  <c r="BA24" i="4"/>
  <c r="AQ29" i="4"/>
  <c r="AN10" i="4" l="1"/>
  <c r="AN24" i="4" s="1"/>
  <c r="BL29" i="4"/>
  <c r="BL33" i="4" s="1"/>
  <c r="B52" i="4" s="1"/>
  <c r="CH29" i="4"/>
  <c r="CH33" i="4" s="1"/>
  <c r="B54" i="4" s="1"/>
  <c r="BA29" i="4"/>
  <c r="AN22" i="4"/>
  <c r="AY23" i="4"/>
  <c r="BJ24" i="4"/>
  <c r="AY29" i="4"/>
  <c r="AY33" i="4" s="1"/>
  <c r="C51" i="4" s="1"/>
  <c r="CF29" i="4"/>
  <c r="CF33" i="4" s="1"/>
  <c r="C54" i="4" s="1"/>
  <c r="CF24" i="4"/>
  <c r="CF23" i="4"/>
  <c r="BW29" i="4"/>
  <c r="BW33" i="4" s="1"/>
  <c r="B53" i="4" s="1"/>
  <c r="BU24" i="4"/>
  <c r="BU23" i="4"/>
  <c r="BJ29" i="4"/>
  <c r="BJ33" i="4" s="1"/>
  <c r="C52" i="4" s="1"/>
  <c r="BA33" i="4" l="1"/>
  <c r="B51" i="4" s="1"/>
  <c r="AN23" i="4"/>
  <c r="AN29" i="4"/>
  <c r="AN33" i="4" s="1"/>
  <c r="C50" i="4" s="1"/>
  <c r="AE31" i="4"/>
  <c r="AC18" i="4"/>
  <c r="AE23" i="4"/>
  <c r="AC12" i="4"/>
  <c r="AE7" i="4"/>
  <c r="AC7" i="4"/>
  <c r="AG20" i="4" s="1"/>
  <c r="AC10" i="4" s="1"/>
  <c r="AB5" i="4"/>
  <c r="C11" i="1"/>
  <c r="C20" i="1"/>
  <c r="C21" i="1"/>
  <c r="C22" i="1"/>
  <c r="C23" i="1"/>
  <c r="C24" i="1"/>
  <c r="C25" i="1"/>
  <c r="C26" i="1"/>
  <c r="C27" i="1"/>
  <c r="C29" i="1"/>
  <c r="D29" i="1" s="1"/>
  <c r="C30" i="1"/>
  <c r="D30" i="1" s="1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3" i="19"/>
  <c r="T4" i="19"/>
  <c r="T5" i="19"/>
  <c r="T6" i="19"/>
  <c r="T7" i="19"/>
  <c r="T8" i="19"/>
  <c r="T9" i="19"/>
  <c r="T10" i="19"/>
  <c r="T11" i="19"/>
  <c r="T12" i="19"/>
  <c r="T13" i="19"/>
  <c r="T14" i="19"/>
  <c r="T15" i="19"/>
  <c r="T16" i="19"/>
  <c r="T3" i="19"/>
  <c r="S4" i="19"/>
  <c r="S5" i="19"/>
  <c r="S6" i="19"/>
  <c r="S7" i="19"/>
  <c r="S8" i="19"/>
  <c r="S9" i="19"/>
  <c r="S10" i="19"/>
  <c r="S11" i="19"/>
  <c r="S12" i="19"/>
  <c r="S13" i="19"/>
  <c r="S14" i="19"/>
  <c r="S15" i="19"/>
  <c r="S16" i="19"/>
  <c r="S3" i="19"/>
  <c r="R4" i="19"/>
  <c r="R5" i="19"/>
  <c r="R6" i="19"/>
  <c r="R7" i="19"/>
  <c r="R8" i="19"/>
  <c r="R9" i="19"/>
  <c r="R10" i="19"/>
  <c r="R11" i="19"/>
  <c r="R12" i="19"/>
  <c r="R13" i="19"/>
  <c r="R14" i="19"/>
  <c r="R15" i="19"/>
  <c r="R16" i="19"/>
  <c r="R3" i="19"/>
  <c r="Q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3" i="19"/>
  <c r="M4" i="19"/>
  <c r="M5" i="19"/>
  <c r="M6" i="19"/>
  <c r="M7" i="19"/>
  <c r="M8" i="19"/>
  <c r="M9" i="19"/>
  <c r="M10" i="19"/>
  <c r="M11" i="19"/>
  <c r="M12" i="19"/>
  <c r="M13" i="19"/>
  <c r="M14" i="19"/>
  <c r="M15" i="19"/>
  <c r="M16" i="19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M3" i="19"/>
  <c r="L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3" i="19"/>
  <c r="J4" i="19"/>
  <c r="J5" i="19"/>
  <c r="J6" i="19"/>
  <c r="J7" i="19"/>
  <c r="J8" i="19"/>
  <c r="J9" i="19"/>
  <c r="J10" i="19"/>
  <c r="J11" i="19"/>
  <c r="J12" i="19"/>
  <c r="J13" i="19"/>
  <c r="J14" i="19"/>
  <c r="J15" i="19"/>
  <c r="J16" i="19"/>
  <c r="J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5" i="19"/>
  <c r="G36" i="19"/>
  <c r="G37" i="19"/>
  <c r="G3" i="19"/>
  <c r="N21" i="28"/>
  <c r="N20" i="28"/>
  <c r="N11" i="28"/>
  <c r="N10" i="28"/>
  <c r="R12" i="4"/>
  <c r="T31" i="4"/>
  <c r="R14" i="4"/>
  <c r="R7" i="4"/>
  <c r="V20" i="4" s="1"/>
  <c r="R10" i="4" s="1"/>
  <c r="T7" i="4"/>
  <c r="Q5" i="4"/>
  <c r="G57" i="19" l="1"/>
  <c r="L57" i="19"/>
  <c r="B15" i="1" s="1"/>
  <c r="D15" i="1" s="1"/>
  <c r="O15" i="1" s="1"/>
  <c r="R57" i="19"/>
  <c r="B24" i="1" s="1"/>
  <c r="N57" i="19"/>
  <c r="B20" i="1" s="1"/>
  <c r="J57" i="19"/>
  <c r="B10" i="1" s="1"/>
  <c r="R31" i="28"/>
  <c r="C31" i="1"/>
  <c r="D31" i="1" s="1"/>
  <c r="O31" i="1" s="1"/>
  <c r="D19" i="1"/>
  <c r="O19" i="1" s="1"/>
  <c r="Q57" i="19"/>
  <c r="B23" i="1" s="1"/>
  <c r="U57" i="19"/>
  <c r="P57" i="19"/>
  <c r="B22" i="1" s="1"/>
  <c r="T57" i="19"/>
  <c r="M57" i="19"/>
  <c r="B18" i="1" s="1"/>
  <c r="D18" i="1" s="1"/>
  <c r="K57" i="19"/>
  <c r="B12" i="1" s="1"/>
  <c r="O57" i="19"/>
  <c r="B21" i="1" s="1"/>
  <c r="S57" i="19"/>
  <c r="B25" i="1" s="1"/>
  <c r="N9" i="28"/>
  <c r="R27" i="28"/>
  <c r="R26" i="28"/>
  <c r="R29" i="28"/>
  <c r="O29" i="1"/>
  <c r="R25" i="28"/>
  <c r="I21" i="28"/>
  <c r="I20" i="28"/>
  <c r="R21" i="28"/>
  <c r="R20" i="28"/>
  <c r="R30" i="28"/>
  <c r="O30" i="1"/>
  <c r="R22" i="28"/>
  <c r="R18" i="28"/>
  <c r="R11" i="28"/>
  <c r="R10" i="28"/>
  <c r="AI20" i="4"/>
  <c r="AE10" i="4" s="1"/>
  <c r="AC22" i="4" s="1"/>
  <c r="X20" i="4"/>
  <c r="T10" i="4" s="1"/>
  <c r="R22" i="4" s="1"/>
  <c r="R23" i="28"/>
  <c r="AE24" i="4"/>
  <c r="AC24" i="4"/>
  <c r="AH29" i="4"/>
  <c r="N19" i="28"/>
  <c r="N15" i="28" s="1"/>
  <c r="R24" i="28"/>
  <c r="R9" i="28"/>
  <c r="N22" i="28"/>
  <c r="N13" i="28"/>
  <c r="N18" i="28"/>
  <c r="I19" i="28"/>
  <c r="N12" i="28"/>
  <c r="T23" i="4"/>
  <c r="T24" i="4"/>
  <c r="R23" i="4"/>
  <c r="B27" i="1" l="1"/>
  <c r="D27" i="1" s="1"/>
  <c r="O27" i="1" s="1"/>
  <c r="B26" i="1"/>
  <c r="D26" i="1" s="1"/>
  <c r="O36" i="1"/>
  <c r="E6" i="11"/>
  <c r="E5" i="11"/>
  <c r="D12" i="1"/>
  <c r="D22" i="1"/>
  <c r="F17" i="1" s="1"/>
  <c r="N23" i="28"/>
  <c r="D24" i="1"/>
  <c r="O24" i="1" s="1"/>
  <c r="D20" i="1"/>
  <c r="O20" i="1" s="1"/>
  <c r="D21" i="1"/>
  <c r="O21" i="1" s="1"/>
  <c r="D10" i="1"/>
  <c r="D11" i="1"/>
  <c r="D9" i="1"/>
  <c r="O9" i="1" s="1"/>
  <c r="AE29" i="4"/>
  <c r="AE33" i="4" s="1"/>
  <c r="B49" i="4" s="1"/>
  <c r="T29" i="4"/>
  <c r="T33" i="4" s="1"/>
  <c r="B48" i="4" s="1"/>
  <c r="AC29" i="4"/>
  <c r="AC33" i="4" s="1"/>
  <c r="C49" i="4" s="1"/>
  <c r="AC23" i="4"/>
  <c r="D25" i="1"/>
  <c r="D23" i="1"/>
  <c r="F18" i="1" s="1"/>
  <c r="R29" i="4"/>
  <c r="R33" i="4" s="1"/>
  <c r="C48" i="4" s="1"/>
  <c r="R24" i="4"/>
  <c r="K15" i="1" l="1"/>
  <c r="O12" i="1"/>
  <c r="K17" i="1"/>
  <c r="K14" i="1" s="1"/>
  <c r="K20" i="1"/>
  <c r="G6" i="11"/>
  <c r="F6" i="11"/>
  <c r="F5" i="27"/>
  <c r="H5" i="27" s="1"/>
  <c r="K19" i="1"/>
  <c r="K9" i="1"/>
  <c r="F19" i="1"/>
  <c r="F7" i="27"/>
  <c r="H7" i="27" s="1"/>
  <c r="J7" i="27" s="1"/>
  <c r="F6" i="27"/>
  <c r="H6" i="27" s="1"/>
  <c r="J6" i="27" s="1"/>
  <c r="F8" i="27"/>
  <c r="H8" i="27" s="1"/>
  <c r="J8" i="27" s="1"/>
  <c r="F9" i="27"/>
  <c r="H9" i="27" s="1"/>
  <c r="J9" i="27" s="1"/>
  <c r="O10" i="1"/>
  <c r="K18" i="1"/>
  <c r="O37" i="1"/>
  <c r="O38" i="1" s="1"/>
  <c r="O18" i="1"/>
  <c r="K10" i="1"/>
  <c r="K13" i="1"/>
  <c r="K12" i="1"/>
  <c r="K11" i="1"/>
  <c r="O26" i="1"/>
  <c r="O11" i="1"/>
  <c r="O22" i="1"/>
  <c r="F11" i="27"/>
  <c r="H11" i="27" s="1"/>
  <c r="L11" i="27" s="1"/>
  <c r="F10" i="27"/>
  <c r="H10" i="27" s="1"/>
  <c r="J10" i="27" s="1"/>
  <c r="H13" i="27"/>
  <c r="L13" i="27" s="1"/>
  <c r="D12" i="27"/>
  <c r="D11" i="27"/>
  <c r="K10" i="27"/>
  <c r="K9" i="27"/>
  <c r="K8" i="27"/>
  <c r="K7" i="27"/>
  <c r="K6" i="27"/>
  <c r="K5" i="27"/>
  <c r="H20" i="8"/>
  <c r="H21" i="8"/>
  <c r="H22" i="8"/>
  <c r="H23" i="8"/>
  <c r="H8" i="8"/>
  <c r="H9" i="8"/>
  <c r="H10" i="8"/>
  <c r="H11" i="8"/>
  <c r="H12" i="8"/>
  <c r="H13" i="8"/>
  <c r="H14" i="8"/>
  <c r="H17" i="8"/>
  <c r="H18" i="8"/>
  <c r="H19" i="8"/>
  <c r="H7" i="8"/>
  <c r="D50" i="23"/>
  <c r="C50" i="23" s="1"/>
  <c r="D49" i="23"/>
  <c r="C49" i="23" s="1"/>
  <c r="D48" i="23"/>
  <c r="C48" i="23" s="1"/>
  <c r="A50" i="23"/>
  <c r="A49" i="23"/>
  <c r="A48" i="23"/>
  <c r="D45" i="23"/>
  <c r="C45" i="23" s="1"/>
  <c r="D46" i="23"/>
  <c r="C46" i="23" s="1"/>
  <c r="D44" i="23"/>
  <c r="C44" i="23" s="1"/>
  <c r="D43" i="23"/>
  <c r="C43" i="23" s="1"/>
  <c r="D42" i="23"/>
  <c r="C42" i="23" s="1"/>
  <c r="B43" i="23"/>
  <c r="B42" i="23"/>
  <c r="C4" i="23"/>
  <c r="B4" i="23" s="1"/>
  <c r="E4" i="23" s="1"/>
  <c r="F4" i="23" s="1"/>
  <c r="C5" i="23"/>
  <c r="B5" i="23" s="1"/>
  <c r="E5" i="23" s="1"/>
  <c r="F5" i="23" s="1"/>
  <c r="C6" i="23"/>
  <c r="B6" i="23" s="1"/>
  <c r="E6" i="23" s="1"/>
  <c r="F6" i="23" s="1"/>
  <c r="C7" i="23"/>
  <c r="B7" i="23" s="1"/>
  <c r="E7" i="23" s="1"/>
  <c r="F7" i="23" s="1"/>
  <c r="C8" i="23"/>
  <c r="B8" i="23" s="1"/>
  <c r="E8" i="23" s="1"/>
  <c r="F8" i="23" s="1"/>
  <c r="C9" i="23"/>
  <c r="B9" i="23" s="1"/>
  <c r="E9" i="23" s="1"/>
  <c r="F9" i="23" s="1"/>
  <c r="C10" i="23"/>
  <c r="B10" i="23" s="1"/>
  <c r="E10" i="23" s="1"/>
  <c r="F10" i="23" s="1"/>
  <c r="C11" i="23"/>
  <c r="B11" i="23" s="1"/>
  <c r="E11" i="23" s="1"/>
  <c r="F11" i="23" s="1"/>
  <c r="C12" i="23"/>
  <c r="B12" i="23" s="1"/>
  <c r="E12" i="23" s="1"/>
  <c r="F12" i="23" s="1"/>
  <c r="C13" i="23"/>
  <c r="B13" i="23" s="1"/>
  <c r="E13" i="23" s="1"/>
  <c r="F13" i="23" s="1"/>
  <c r="C14" i="23"/>
  <c r="B14" i="23" s="1"/>
  <c r="E14" i="23" s="1"/>
  <c r="F14" i="23" s="1"/>
  <c r="C15" i="23"/>
  <c r="B15" i="23" s="1"/>
  <c r="E15" i="23" s="1"/>
  <c r="F15" i="23" s="1"/>
  <c r="C16" i="23"/>
  <c r="B16" i="23" s="1"/>
  <c r="E16" i="23" s="1"/>
  <c r="F16" i="23" s="1"/>
  <c r="C17" i="23"/>
  <c r="B17" i="23" s="1"/>
  <c r="E17" i="23" s="1"/>
  <c r="F17" i="23" s="1"/>
  <c r="C18" i="23"/>
  <c r="B18" i="23" s="1"/>
  <c r="E18" i="23" s="1"/>
  <c r="F18" i="23" s="1"/>
  <c r="C19" i="23"/>
  <c r="B19" i="23" s="1"/>
  <c r="E19" i="23" s="1"/>
  <c r="F19" i="23" s="1"/>
  <c r="C20" i="23"/>
  <c r="B20" i="23" s="1"/>
  <c r="E20" i="23" s="1"/>
  <c r="F20" i="23" s="1"/>
  <c r="C21" i="23"/>
  <c r="B21" i="23" s="1"/>
  <c r="E21" i="23" s="1"/>
  <c r="F21" i="23" s="1"/>
  <c r="C22" i="23"/>
  <c r="B22" i="23" s="1"/>
  <c r="E22" i="23" s="1"/>
  <c r="F22" i="23" s="1"/>
  <c r="C23" i="23"/>
  <c r="B23" i="23" s="1"/>
  <c r="E23" i="23" s="1"/>
  <c r="F23" i="23" s="1"/>
  <c r="C24" i="23"/>
  <c r="B24" i="23" s="1"/>
  <c r="E24" i="23" s="1"/>
  <c r="F24" i="23" s="1"/>
  <c r="C25" i="23"/>
  <c r="B25" i="23" s="1"/>
  <c r="E25" i="23" s="1"/>
  <c r="F25" i="23" s="1"/>
  <c r="C26" i="23"/>
  <c r="B26" i="23" s="1"/>
  <c r="E26" i="23" s="1"/>
  <c r="F26" i="23" s="1"/>
  <c r="C27" i="23"/>
  <c r="B27" i="23" s="1"/>
  <c r="E27" i="23" s="1"/>
  <c r="F27" i="23" s="1"/>
  <c r="C28" i="23"/>
  <c r="B28" i="23" s="1"/>
  <c r="E28" i="23" s="1"/>
  <c r="F28" i="23" s="1"/>
  <c r="C29" i="23"/>
  <c r="B29" i="23" s="1"/>
  <c r="E29" i="23" s="1"/>
  <c r="F29" i="23" s="1"/>
  <c r="C30" i="23"/>
  <c r="B30" i="23" s="1"/>
  <c r="E30" i="23" s="1"/>
  <c r="F30" i="23" s="1"/>
  <c r="C31" i="23"/>
  <c r="B31" i="23" s="1"/>
  <c r="E31" i="23" s="1"/>
  <c r="F31" i="23" s="1"/>
  <c r="C32" i="23"/>
  <c r="B32" i="23" s="1"/>
  <c r="E32" i="23" s="1"/>
  <c r="F32" i="23" s="1"/>
  <c r="C33" i="23"/>
  <c r="B33" i="23" s="1"/>
  <c r="E33" i="23" s="1"/>
  <c r="F33" i="23" s="1"/>
  <c r="C34" i="23"/>
  <c r="B34" i="23" s="1"/>
  <c r="E34" i="23" s="1"/>
  <c r="F34" i="23" s="1"/>
  <c r="C35" i="23"/>
  <c r="B35" i="23" s="1"/>
  <c r="E35" i="23" s="1"/>
  <c r="F35" i="23" s="1"/>
  <c r="C36" i="23"/>
  <c r="B36" i="23" s="1"/>
  <c r="E36" i="23" s="1"/>
  <c r="F36" i="23" s="1"/>
  <c r="C37" i="23"/>
  <c r="B37" i="23" s="1"/>
  <c r="E37" i="23" s="1"/>
  <c r="F37" i="23" s="1"/>
  <c r="C3" i="23"/>
  <c r="B3" i="23" s="1"/>
  <c r="E3" i="23" s="1"/>
  <c r="F3" i="23" s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" i="23"/>
  <c r="E22" i="20"/>
  <c r="D22" i="20" s="1"/>
  <c r="G22" i="20" s="1"/>
  <c r="H22" i="20" s="1"/>
  <c r="E21" i="20"/>
  <c r="D21" i="20" s="1"/>
  <c r="G21" i="20" s="1"/>
  <c r="H21" i="20" s="1"/>
  <c r="E9" i="20"/>
  <c r="D9" i="20" s="1"/>
  <c r="G9" i="20" s="1"/>
  <c r="H9" i="20" s="1"/>
  <c r="E10" i="20"/>
  <c r="D10" i="20" s="1"/>
  <c r="G10" i="20" s="1"/>
  <c r="H10" i="20" s="1"/>
  <c r="E11" i="20"/>
  <c r="D11" i="20" s="1"/>
  <c r="G11" i="20" s="1"/>
  <c r="H11" i="20" s="1"/>
  <c r="E12" i="20"/>
  <c r="D12" i="20" s="1"/>
  <c r="G12" i="20" s="1"/>
  <c r="H12" i="20" s="1"/>
  <c r="E13" i="20"/>
  <c r="D13" i="20" s="1"/>
  <c r="G13" i="20" s="1"/>
  <c r="H13" i="20" s="1"/>
  <c r="E14" i="20"/>
  <c r="D14" i="20" s="1"/>
  <c r="G14" i="20" s="1"/>
  <c r="H14" i="20" s="1"/>
  <c r="E15" i="20"/>
  <c r="D15" i="20" s="1"/>
  <c r="G15" i="20" s="1"/>
  <c r="H15" i="20" s="1"/>
  <c r="E16" i="20"/>
  <c r="D16" i="20" s="1"/>
  <c r="G16" i="20" s="1"/>
  <c r="H16" i="20" s="1"/>
  <c r="E18" i="20"/>
  <c r="D18" i="20" s="1"/>
  <c r="G18" i="20" s="1"/>
  <c r="H18" i="20" s="1"/>
  <c r="E19" i="20"/>
  <c r="D19" i="20" s="1"/>
  <c r="G19" i="20" s="1"/>
  <c r="H19" i="20" s="1"/>
  <c r="E20" i="20"/>
  <c r="D20" i="20" s="1"/>
  <c r="G20" i="20" s="1"/>
  <c r="H20" i="20" s="1"/>
  <c r="E8" i="20"/>
  <c r="D8" i="20" s="1"/>
  <c r="G8" i="20" s="1"/>
  <c r="H8" i="20" s="1"/>
  <c r="C64" i="2"/>
  <c r="C65" i="2"/>
  <c r="C66" i="2"/>
  <c r="C67" i="2"/>
  <c r="C68" i="2"/>
  <c r="C62" i="2"/>
  <c r="B57" i="2"/>
  <c r="B56" i="2"/>
  <c r="B55" i="2"/>
  <c r="B54" i="2"/>
  <c r="E14" i="2"/>
  <c r="E15" i="2"/>
  <c r="E16" i="2"/>
  <c r="E17" i="2"/>
  <c r="E18" i="2"/>
  <c r="E19" i="2"/>
  <c r="E20" i="2"/>
  <c r="E21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12" i="2"/>
  <c r="M21" i="17"/>
  <c r="M20" i="17"/>
  <c r="M19" i="17"/>
  <c r="M17" i="17"/>
  <c r="J18" i="20"/>
  <c r="J19" i="20"/>
  <c r="J20" i="20"/>
  <c r="J14" i="20"/>
  <c r="J15" i="20"/>
  <c r="J16" i="20"/>
  <c r="J11" i="20"/>
  <c r="J12" i="20"/>
  <c r="J13" i="20"/>
  <c r="J9" i="20"/>
  <c r="J10" i="20"/>
  <c r="J8" i="20"/>
  <c r="E35" i="20"/>
  <c r="J35" i="20" s="1"/>
  <c r="E34" i="20"/>
  <c r="J34" i="20" s="1"/>
  <c r="E33" i="20"/>
  <c r="J33" i="20" s="1"/>
  <c r="E32" i="20"/>
  <c r="J32" i="20" s="1"/>
  <c r="E31" i="20"/>
  <c r="J31" i="20" s="1"/>
  <c r="K16" i="1" l="1"/>
  <c r="L5" i="27"/>
  <c r="F5" i="11"/>
  <c r="H24" i="8"/>
  <c r="O23" i="1"/>
  <c r="K21" i="1"/>
  <c r="L10" i="27"/>
  <c r="L9" i="27"/>
  <c r="L8" i="27"/>
  <c r="L7" i="27"/>
  <c r="L6" i="27"/>
  <c r="J5" i="27"/>
  <c r="J11" i="27"/>
  <c r="D17" i="7"/>
  <c r="D18" i="7"/>
  <c r="D16" i="7"/>
  <c r="D27" i="7"/>
  <c r="D26" i="7"/>
  <c r="D25" i="7"/>
  <c r="D28" i="7" s="1"/>
  <c r="N19" i="17"/>
  <c r="N20" i="17"/>
  <c r="N21" i="17"/>
  <c r="K20" i="17"/>
  <c r="K19" i="17"/>
  <c r="K18" i="17"/>
  <c r="N22" i="17"/>
  <c r="M24" i="17"/>
  <c r="N24" i="17" s="1"/>
  <c r="M23" i="17"/>
  <c r="N23" i="17" s="1"/>
  <c r="E39" i="2"/>
  <c r="A24" i="17"/>
  <c r="A22" i="17"/>
  <c r="G5" i="11" l="1"/>
  <c r="D19" i="7"/>
  <c r="D30" i="7"/>
  <c r="E9" i="11" s="1"/>
  <c r="M18" i="17"/>
  <c r="N18" i="17" s="1"/>
  <c r="G9" i="11" l="1"/>
  <c r="F9" i="11"/>
  <c r="B3" i="8"/>
  <c r="E18" i="18" l="1"/>
  <c r="E17" i="18"/>
  <c r="E16" i="18"/>
  <c r="E15" i="18"/>
  <c r="E14" i="18"/>
  <c r="E13" i="18"/>
  <c r="E18" i="11" s="1"/>
  <c r="E12" i="18"/>
  <c r="E11" i="18"/>
  <c r="E10" i="18"/>
  <c r="E9" i="18"/>
  <c r="E8" i="18"/>
  <c r="E7" i="18"/>
  <c r="E6" i="18"/>
  <c r="E5" i="18"/>
  <c r="E4" i="18"/>
  <c r="E15" i="11" l="1"/>
  <c r="E20" i="11"/>
  <c r="G20" i="11" s="1"/>
  <c r="O24" i="4"/>
  <c r="G18" i="11"/>
  <c r="F18" i="11"/>
  <c r="M27" i="17"/>
  <c r="N27" i="17" s="1"/>
  <c r="M26" i="17"/>
  <c r="N26" i="17" s="1"/>
  <c r="M25" i="17"/>
  <c r="N25" i="17" s="1"/>
  <c r="F20" i="11" l="1"/>
  <c r="F15" i="11"/>
  <c r="G15" i="11"/>
  <c r="B14" i="17"/>
  <c r="B12" i="17"/>
  <c r="A11" i="15"/>
  <c r="N17" i="17" l="1"/>
  <c r="N29" i="17" s="1"/>
  <c r="K21" i="17"/>
  <c r="K17" i="17"/>
  <c r="B44" i="4"/>
  <c r="B3" i="4"/>
  <c r="B5" i="7"/>
  <c r="B3" i="7"/>
  <c r="B4" i="8"/>
  <c r="B5" i="8"/>
  <c r="CQ3" i="4" l="1"/>
  <c r="A46" i="4"/>
  <c r="CF3" i="4"/>
  <c r="BU3" i="4"/>
  <c r="AN3" i="4"/>
  <c r="AY3" i="4"/>
  <c r="BJ3" i="4"/>
  <c r="A4" i="15"/>
  <c r="A10" i="15" s="1"/>
  <c r="A3" i="15"/>
  <c r="A9" i="15" s="1"/>
  <c r="A2" i="15"/>
  <c r="A8" i="15" s="1"/>
  <c r="A1" i="15"/>
  <c r="A7" i="15" s="1"/>
  <c r="B4" i="10"/>
  <c r="B3" i="10"/>
  <c r="B2" i="10"/>
  <c r="B29" i="17" l="1"/>
  <c r="E7" i="11" s="1"/>
  <c r="N31" i="17"/>
  <c r="E10" i="11"/>
  <c r="F7" i="11" l="1"/>
  <c r="G7" i="11"/>
  <c r="O25" i="4"/>
  <c r="B31" i="17"/>
  <c r="F10" i="11" l="1"/>
  <c r="G10" i="11"/>
  <c r="D31" i="11"/>
  <c r="E31" i="11" s="1"/>
  <c r="E19" i="11"/>
  <c r="G31" i="11" l="1"/>
  <c r="F31" i="11"/>
  <c r="G19" i="11"/>
  <c r="F19" i="11"/>
  <c r="E11" i="11"/>
  <c r="F11" i="11" l="1"/>
  <c r="G11" i="11"/>
  <c r="C72" i="2"/>
  <c r="E8" i="11" l="1"/>
  <c r="G8" i="11" l="1"/>
  <c r="F8" i="11"/>
  <c r="B18" i="10"/>
  <c r="B17" i="10"/>
  <c r="B16" i="10"/>
  <c r="B15" i="10"/>
  <c r="B14" i="10"/>
  <c r="E11" i="7"/>
  <c r="E12" i="7"/>
  <c r="E13" i="7"/>
  <c r="E10" i="7"/>
  <c r="J11" i="7"/>
  <c r="J12" i="7"/>
  <c r="J13" i="7"/>
  <c r="J10" i="7"/>
  <c r="H11" i="7"/>
  <c r="H12" i="7"/>
  <c r="H13" i="7"/>
  <c r="H17" i="7"/>
  <c r="H18" i="7" s="1"/>
  <c r="H10" i="7"/>
  <c r="H16" i="7" l="1"/>
  <c r="H14" i="7"/>
  <c r="E3" i="18" l="1"/>
  <c r="E21" i="11" s="1"/>
  <c r="E19" i="18" l="1"/>
  <c r="E20" i="18" s="1"/>
  <c r="E22" i="18" l="1"/>
  <c r="E21" i="18"/>
  <c r="G21" i="11"/>
  <c r="D30" i="11"/>
  <c r="E30" i="11" s="1"/>
  <c r="F21" i="11"/>
  <c r="E23" i="18" l="1"/>
  <c r="E24" i="18" s="1"/>
  <c r="F30" i="11"/>
  <c r="G30" i="11"/>
  <c r="O25" i="1" l="1"/>
  <c r="O32" i="1" s="1"/>
  <c r="O34" i="1" s="1"/>
  <c r="F12" i="27"/>
  <c r="H12" i="27" s="1"/>
  <c r="H14" i="27" s="1"/>
  <c r="J12" i="27" l="1"/>
  <c r="J14" i="27" s="1"/>
  <c r="L12" i="27"/>
  <c r="L14" i="27" s="1"/>
  <c r="E12" i="11" l="1"/>
  <c r="E25" i="11" s="1"/>
  <c r="G12" i="11" l="1"/>
  <c r="G25" i="11" s="1"/>
  <c r="F12" i="11"/>
  <c r="F25" i="11" s="1"/>
  <c r="D29" i="11"/>
  <c r="C33" i="11" s="1"/>
  <c r="E29" i="11" l="1"/>
  <c r="E32" i="11" l="1"/>
  <c r="F32" i="11" s="1"/>
  <c r="F29" i="11"/>
  <c r="G29" i="11"/>
  <c r="C34" i="11" l="1"/>
  <c r="G32" i="11"/>
  <c r="C35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<sst xmlns="http://schemas.openxmlformats.org/spreadsheetml/2006/main" count="1271" uniqueCount="639">
  <si>
    <t>Date</t>
  </si>
  <si>
    <t>Other</t>
  </si>
  <si>
    <t>Colour</t>
  </si>
  <si>
    <t xml:space="preserve"> </t>
  </si>
  <si>
    <t>Installation Price List February 2025</t>
  </si>
  <si>
    <t>GST (incl:)</t>
  </si>
  <si>
    <t>Delivery</t>
  </si>
  <si>
    <t>Removal of packaging</t>
  </si>
  <si>
    <t>Rubbish removal</t>
  </si>
  <si>
    <t>I Robe</t>
  </si>
  <si>
    <r>
      <t>Short ends</t>
    </r>
    <r>
      <rPr>
        <i/>
        <sz val="12"/>
        <color indexed="8"/>
        <rFont val="Calibri"/>
        <family val="2"/>
      </rPr>
      <t xml:space="preserve"> (per pair)</t>
    </r>
  </si>
  <si>
    <t>6 drawer tower</t>
  </si>
  <si>
    <t>3 drawer tower</t>
  </si>
  <si>
    <t>6 shelf tower</t>
  </si>
  <si>
    <r>
      <t xml:space="preserve">Top shelf </t>
    </r>
    <r>
      <rPr>
        <i/>
        <sz val="12"/>
        <color indexed="8"/>
        <rFont val="Calibri"/>
        <family val="2"/>
      </rPr>
      <t>(per metre)</t>
    </r>
  </si>
  <si>
    <t>Starter pack</t>
  </si>
  <si>
    <t>Cutting on site</t>
  </si>
  <si>
    <t>Cabinet</t>
  </si>
  <si>
    <t>Per module</t>
  </si>
  <si>
    <r>
      <t>Scribers (pe</t>
    </r>
    <r>
      <rPr>
        <i/>
        <sz val="12"/>
        <color indexed="8"/>
        <rFont val="Calibri"/>
        <family val="2"/>
      </rPr>
      <t>r side)</t>
    </r>
  </si>
  <si>
    <t>Sliding Doors</t>
  </si>
  <si>
    <t>2 doors</t>
  </si>
  <si>
    <t>3 doors</t>
  </si>
  <si>
    <t>4 doors</t>
  </si>
  <si>
    <t>Free Standing</t>
  </si>
  <si>
    <t>Per wardrobe</t>
  </si>
  <si>
    <t>Sub-Total 1 (GST incl)</t>
  </si>
  <si>
    <t>Out town surcharge</t>
  </si>
  <si>
    <t>Percentage of sub total</t>
  </si>
  <si>
    <t>House lot discount</t>
  </si>
  <si>
    <t>New Home discount</t>
  </si>
  <si>
    <t>Total (GST incl)</t>
  </si>
  <si>
    <t>Total (incl: GST)</t>
  </si>
  <si>
    <t>Minimum charge</t>
  </si>
  <si>
    <t>19th July</t>
  </si>
  <si>
    <t>I Robe Retail Price List February 2025</t>
  </si>
  <si>
    <t>I Robe  Order</t>
  </si>
  <si>
    <t>Dealer:</t>
  </si>
  <si>
    <t>Job Name:</t>
  </si>
  <si>
    <t>Job Number:</t>
  </si>
  <si>
    <t>Dispatch Date:</t>
  </si>
  <si>
    <t>WAREHOUSE USE ONLY</t>
  </si>
  <si>
    <t>Item</t>
  </si>
  <si>
    <t>Checked</t>
  </si>
  <si>
    <t>Hardware</t>
  </si>
  <si>
    <t>Price Per item</t>
  </si>
  <si>
    <t>Total</t>
  </si>
  <si>
    <t>2.4m Top Support</t>
  </si>
  <si>
    <t>Side panel screws</t>
  </si>
  <si>
    <t>2.4m Back Support</t>
  </si>
  <si>
    <t>Shelf cams (033)</t>
  </si>
  <si>
    <t>1800 Side</t>
  </si>
  <si>
    <t>Shelf cams (014)</t>
  </si>
  <si>
    <t>1200 Side</t>
  </si>
  <si>
    <t>Shelf cams (047)</t>
  </si>
  <si>
    <t>1200 Shelf</t>
  </si>
  <si>
    <t>See Below</t>
  </si>
  <si>
    <t>Shelf screws (silver)</t>
  </si>
  <si>
    <t>550 Shelf</t>
  </si>
  <si>
    <t>small screws</t>
  </si>
  <si>
    <t>400 Shelf</t>
  </si>
  <si>
    <t xml:space="preserve">     panhead screws</t>
  </si>
  <si>
    <t>1200 Hanging Bar</t>
  </si>
  <si>
    <t>Brackets</t>
  </si>
  <si>
    <t>L-Brackets</t>
  </si>
  <si>
    <t>550 Hanging Bar</t>
  </si>
  <si>
    <t>Cover caps (033)</t>
  </si>
  <si>
    <t>400 Hanging Bar</t>
  </si>
  <si>
    <t>Cover caps (014)</t>
  </si>
  <si>
    <t>Drawers (400)</t>
  </si>
  <si>
    <t>Cover caps (047)</t>
  </si>
  <si>
    <t>Drawers (550)</t>
  </si>
  <si>
    <t>H/Bar Brackets</t>
  </si>
  <si>
    <t>Starter Ends*</t>
  </si>
  <si>
    <t>Instructions</t>
  </si>
  <si>
    <t>Panel cut down</t>
  </si>
  <si>
    <t xml:space="preserve">Shelf cut down </t>
  </si>
  <si>
    <t>Design black hang bar</t>
  </si>
  <si>
    <t xml:space="preserve">Black </t>
  </si>
  <si>
    <t>Quote</t>
  </si>
  <si>
    <t>Wardrobe</t>
  </si>
  <si>
    <t>Installation</t>
  </si>
  <si>
    <t>Sub -Total</t>
  </si>
  <si>
    <t>** PLEASE NOTE:  Numbers in above columns must be whole numbers, not text **</t>
  </si>
  <si>
    <t>I Robe set combos pricing Feb 2025</t>
  </si>
  <si>
    <t>GST incl</t>
  </si>
  <si>
    <t>I Robe 1</t>
  </si>
  <si>
    <t>I Robe 1A</t>
  </si>
  <si>
    <t>I Robe 2</t>
  </si>
  <si>
    <t>I Robe 2A</t>
  </si>
  <si>
    <t>I Robe 3</t>
  </si>
  <si>
    <t>I Robe 3A</t>
  </si>
  <si>
    <t>I Robe 3B</t>
  </si>
  <si>
    <t>I  Robe 3B 6Drw</t>
  </si>
  <si>
    <t>I Robe 3C</t>
  </si>
  <si>
    <t>I Robe 3C 6 Drw</t>
  </si>
  <si>
    <t>I Robe 4</t>
  </si>
  <si>
    <t>I Robe 4A</t>
  </si>
  <si>
    <t>I Robe 4B</t>
  </si>
  <si>
    <t>I Robe 4C</t>
  </si>
  <si>
    <t>I Robe 5</t>
  </si>
  <si>
    <t>I Robe 5 6 Drw</t>
  </si>
  <si>
    <t>I Robe 5A</t>
  </si>
  <si>
    <t>I Robe 5A 6 Drw</t>
  </si>
  <si>
    <t xml:space="preserve">I Robe 5B </t>
  </si>
  <si>
    <t>I Robe 5B 6 Drw</t>
  </si>
  <si>
    <t>I Robe 5C</t>
  </si>
  <si>
    <t>I Robe 5C 6 Drw</t>
  </si>
  <si>
    <t>I Robe 6</t>
  </si>
  <si>
    <t>I Robe 6A</t>
  </si>
  <si>
    <t>I Robe 6B</t>
  </si>
  <si>
    <t>I Robe 6C</t>
  </si>
  <si>
    <t>I Robe 6D</t>
  </si>
  <si>
    <t>I Robe 7</t>
  </si>
  <si>
    <t>I Robe 7A</t>
  </si>
  <si>
    <t>I Robe 7A 6Drw</t>
  </si>
  <si>
    <t>I Robe 7B</t>
  </si>
  <si>
    <t>I Robe 8</t>
  </si>
  <si>
    <t>I Robe 8A 6 Drws</t>
  </si>
  <si>
    <t>I Robe 8B</t>
  </si>
  <si>
    <t>I Robe 8C</t>
  </si>
  <si>
    <t>I Robe Premium Retail Price List Feb 2025</t>
  </si>
  <si>
    <t>Retail (incl GST)</t>
  </si>
  <si>
    <t>I Robe Premium</t>
  </si>
  <si>
    <t>Side Panel Premium 1800</t>
  </si>
  <si>
    <t>1860x450</t>
  </si>
  <si>
    <t>Side Panel Premium 1200</t>
  </si>
  <si>
    <t>1200x450</t>
  </si>
  <si>
    <t>Top Panel Premium</t>
  </si>
  <si>
    <t>2400x450</t>
  </si>
  <si>
    <t>Shelves Premium</t>
  </si>
  <si>
    <t>675x400</t>
  </si>
  <si>
    <t>I Robe  Premium Order</t>
  </si>
  <si>
    <t>085</t>
  </si>
  <si>
    <t>014</t>
  </si>
  <si>
    <t>047</t>
  </si>
  <si>
    <t>2.4m Top Support (2.4 x 450)</t>
  </si>
  <si>
    <t>2.4m Back Support (2.4 x 1.8)</t>
  </si>
  <si>
    <t>Shelf cams (085)</t>
  </si>
  <si>
    <t>1800 Side (1860 x 450)</t>
  </si>
  <si>
    <t>1200 Side (1200 x 450)</t>
  </si>
  <si>
    <t>Premium Shelf (675 x 400)</t>
  </si>
  <si>
    <t>Cab Hang Bar Std</t>
  </si>
  <si>
    <t>I Robe 550 shelf</t>
  </si>
  <si>
    <t>I Robe 400 shelf</t>
  </si>
  <si>
    <t>I Robe 1200 Shelf</t>
  </si>
  <si>
    <t>Cabinet System Pricing Feb 2025</t>
  </si>
  <si>
    <t>Cabinet System Order</t>
  </si>
  <si>
    <t>Job Number</t>
  </si>
  <si>
    <t xml:space="preserve">Item </t>
  </si>
  <si>
    <t xml:space="preserve">Total </t>
  </si>
  <si>
    <t>Back  Support (pr)</t>
  </si>
  <si>
    <t xml:space="preserve">Back Panel </t>
  </si>
  <si>
    <t>Mid Panel</t>
  </si>
  <si>
    <t>1000 Module</t>
  </si>
  <si>
    <t>800 Module</t>
  </si>
  <si>
    <t>700 Module</t>
  </si>
  <si>
    <t>600 Module</t>
  </si>
  <si>
    <t>500 Module</t>
  </si>
  <si>
    <t>450 Module</t>
  </si>
  <si>
    <t>LH Seen End</t>
  </si>
  <si>
    <t>RH Seen End</t>
  </si>
  <si>
    <t>1000 Shelf</t>
  </si>
  <si>
    <t>800 Shelf</t>
  </si>
  <si>
    <t>700 Shelf</t>
  </si>
  <si>
    <t>600 Shelf</t>
  </si>
  <si>
    <t>500 Shelf</t>
  </si>
  <si>
    <t>450 Shelf</t>
  </si>
  <si>
    <t xml:space="preserve"> Hanging Bar Std</t>
  </si>
  <si>
    <t>Designer Black Hang Bar</t>
  </si>
  <si>
    <t>Tie Drawer</t>
  </si>
  <si>
    <t>100x18 Filler Panel</t>
  </si>
  <si>
    <t>New Panel</t>
  </si>
  <si>
    <t>3 Drawer 700</t>
  </si>
  <si>
    <t>4 Drawer 800</t>
  </si>
  <si>
    <t>5 Drawer 700</t>
  </si>
  <si>
    <t>5 Drawer 800</t>
  </si>
  <si>
    <t>Shelf cut down</t>
  </si>
  <si>
    <t>Module cut down</t>
  </si>
  <si>
    <t>Metal cams</t>
  </si>
  <si>
    <t>Cam dowels</t>
  </si>
  <si>
    <t>Cam covers (palstic)</t>
  </si>
  <si>
    <t>Shelf screws</t>
  </si>
  <si>
    <t>Shelf cams (plastic)</t>
  </si>
  <si>
    <t>H/bar brackets</t>
  </si>
  <si>
    <t>H/bar screws</t>
  </si>
  <si>
    <t>Wood screws (45mm)</t>
  </si>
  <si>
    <t>Cover caps (stickers)</t>
  </si>
  <si>
    <t>Cut Size</t>
  </si>
  <si>
    <t>Panels</t>
  </si>
  <si>
    <t>Back Panel Support Sets</t>
  </si>
  <si>
    <t>Quote (incl GST)</t>
  </si>
  <si>
    <t>Linen Shelving Pricing February 2025</t>
  </si>
  <si>
    <t>Linen Sheving Order</t>
  </si>
  <si>
    <t xml:space="preserve">Job Number: </t>
  </si>
  <si>
    <t>Custom</t>
  </si>
  <si>
    <t>Amount</t>
  </si>
  <si>
    <t>Size</t>
  </si>
  <si>
    <t>Bay</t>
  </si>
  <si>
    <t>Shelves</t>
  </si>
  <si>
    <t>Slats</t>
  </si>
  <si>
    <t>Panel</t>
  </si>
  <si>
    <t>Slat 1</t>
  </si>
  <si>
    <t>Slat 2</t>
  </si>
  <si>
    <t>Slat 3</t>
  </si>
  <si>
    <t>Slat 4</t>
  </si>
  <si>
    <t>Custom Sizes</t>
  </si>
  <si>
    <t>Number</t>
  </si>
  <si>
    <t>Price</t>
  </si>
  <si>
    <t>Total incl GST</t>
  </si>
  <si>
    <t xml:space="preserve">Up to 800 </t>
  </si>
  <si>
    <t>Screws</t>
  </si>
  <si>
    <t xml:space="preserve">800 to 1.2m </t>
  </si>
  <si>
    <t>Braces</t>
  </si>
  <si>
    <t>Sub-total</t>
  </si>
  <si>
    <t xml:space="preserve">Set Sizes </t>
  </si>
  <si>
    <t>Total Incl GST</t>
  </si>
  <si>
    <t>Side Panel</t>
  </si>
  <si>
    <t>Sliding Door Order</t>
  </si>
  <si>
    <t>Standard</t>
  </si>
  <si>
    <t>Sectional</t>
  </si>
  <si>
    <t>Doors on Double track</t>
  </si>
  <si>
    <t>RRP (incl GST)</t>
  </si>
  <si>
    <t>Height</t>
  </si>
  <si>
    <t>Width Top</t>
  </si>
  <si>
    <t>Width Bottom</t>
  </si>
  <si>
    <t>Triple Track - Y/N</t>
  </si>
  <si>
    <t>Door Qty (2,3,4)</t>
  </si>
  <si>
    <t>Door Type</t>
  </si>
  <si>
    <t>(601 or 101)</t>
  </si>
  <si>
    <t>Panel Colour</t>
  </si>
  <si>
    <t>(see below)</t>
  </si>
  <si>
    <t>Frame Colour</t>
  </si>
  <si>
    <t>Doors on Triple Track</t>
  </si>
  <si>
    <t>Panel door type:</t>
  </si>
  <si>
    <t>Mirror Std</t>
  </si>
  <si>
    <t>Extra Per Door</t>
  </si>
  <si>
    <t>Mirror tint</t>
  </si>
  <si>
    <t>Sub Total</t>
  </si>
  <si>
    <t>014      Grey Ash</t>
  </si>
  <si>
    <t>085 White Linear</t>
  </si>
  <si>
    <t>047 Maple Cream</t>
  </si>
  <si>
    <t>MDF Raw</t>
  </si>
  <si>
    <t>097 Mink</t>
  </si>
  <si>
    <t>098 Black Ash</t>
  </si>
  <si>
    <t>065 Taupe Grey</t>
  </si>
  <si>
    <t>Accessories  April 2025</t>
  </si>
  <si>
    <t>Code</t>
  </si>
  <si>
    <t>Description</t>
  </si>
  <si>
    <t>Items ordered</t>
  </si>
  <si>
    <t>Item Checked</t>
  </si>
  <si>
    <t>Item Cost</t>
  </si>
  <si>
    <t>Pants Rack</t>
  </si>
  <si>
    <t>SPR - 48(L)</t>
  </si>
  <si>
    <t>515x355x230</t>
  </si>
  <si>
    <t>SPR - 48(R)</t>
  </si>
  <si>
    <t>FL201A</t>
  </si>
  <si>
    <t>Tie Rack</t>
  </si>
  <si>
    <t>STR - 46(L)</t>
  </si>
  <si>
    <t>465x125x105</t>
  </si>
  <si>
    <t>STR - 46(R)</t>
  </si>
  <si>
    <t>Shoe Racks</t>
  </si>
  <si>
    <t>FS 13  10 x wall mounted</t>
  </si>
  <si>
    <t>10 x shoe rack</t>
  </si>
  <si>
    <t>Cab - FMS 208-1</t>
  </si>
  <si>
    <t>575-875</t>
  </si>
  <si>
    <t>Cab shoe rack</t>
  </si>
  <si>
    <t>IR - FMS 208-2</t>
  </si>
  <si>
    <t>I Robe Shoe rack</t>
  </si>
  <si>
    <t>Iron Board</t>
  </si>
  <si>
    <t>Wall Mount fold down</t>
  </si>
  <si>
    <t>IB Fold down</t>
  </si>
  <si>
    <t>Wall Mount swivel 180 rotate</t>
  </si>
  <si>
    <t>IB folding Swivel</t>
  </si>
  <si>
    <t>Iron Board pull out</t>
  </si>
  <si>
    <t>IB folding pull out</t>
  </si>
  <si>
    <t>Mirrors</t>
  </si>
  <si>
    <t>PG-038-120-BL200</t>
  </si>
  <si>
    <t>Silver frame</t>
  </si>
  <si>
    <t>Pull out mirror</t>
  </si>
  <si>
    <t>PG-038-120-BL201</t>
  </si>
  <si>
    <t>Black frame</t>
  </si>
  <si>
    <t>Hang Bars</t>
  </si>
  <si>
    <t>Fletcher Living Pricing February 2025</t>
  </si>
  <si>
    <t xml:space="preserve">10% discount on standard doors.   Sectional doors is full retail.  </t>
  </si>
  <si>
    <t>Number of Doors</t>
  </si>
  <si>
    <t xml:space="preserve">Door Size </t>
  </si>
  <si>
    <t xml:space="preserve">Opening </t>
  </si>
  <si>
    <t xml:space="preserve">Standard </t>
  </si>
  <si>
    <t>Fletcher</t>
  </si>
  <si>
    <t>(up to)</t>
  </si>
  <si>
    <t>Doors</t>
  </si>
  <si>
    <t>Discount</t>
  </si>
  <si>
    <t>1 mirror</t>
  </si>
  <si>
    <t>Retail (Excl GST)</t>
  </si>
  <si>
    <t>(excl GST)</t>
  </si>
  <si>
    <t>(incl GST)</t>
  </si>
  <si>
    <t>Doors on Double Track</t>
  </si>
  <si>
    <t>Extra for plain mirror doors</t>
  </si>
  <si>
    <t>Per door</t>
  </si>
  <si>
    <t>Notes for Doors</t>
  </si>
  <si>
    <r>
      <rPr>
        <b/>
        <sz val="10"/>
        <color theme="1"/>
        <rFont val="Calibri"/>
        <family val="2"/>
      </rPr>
      <t xml:space="preserve">Standard doors </t>
    </r>
    <r>
      <rPr>
        <sz val="10"/>
        <color theme="1"/>
        <rFont val="Calibri"/>
        <family val="2"/>
      </rPr>
      <t xml:space="preserve">– full panel less than 2.4m in height. </t>
    </r>
  </si>
  <si>
    <r>
      <rPr>
        <b/>
        <sz val="10"/>
        <color rgb="FF000000"/>
        <rFont val="Calibri"/>
        <family val="2"/>
      </rPr>
      <t>Sectional Doors</t>
    </r>
    <r>
      <rPr>
        <sz val="10"/>
        <color rgb="FF000000"/>
        <rFont val="Calibri"/>
        <family val="2"/>
      </rPr>
      <t xml:space="preserve"> – sectional panel, over 2.4m, </t>
    </r>
  </si>
  <si>
    <r>
      <rPr>
        <b/>
        <sz val="10"/>
        <color theme="1"/>
        <rFont val="Calibri"/>
        <family val="2"/>
      </rPr>
      <t>Infill Colours</t>
    </r>
    <r>
      <rPr>
        <sz val="10"/>
        <color theme="1"/>
        <rFont val="Calibri"/>
        <family val="2"/>
      </rPr>
      <t xml:space="preserve"> – White (028), White Linear (085), Grey Ash (014), Maple Cream (047)</t>
    </r>
  </si>
  <si>
    <t xml:space="preserve">Frame and track colours – Silver 101, Black 101, </t>
  </si>
  <si>
    <t>Fletcher Pricing February 2025</t>
  </si>
  <si>
    <t> </t>
  </si>
  <si>
    <t>Retail (excl GST)</t>
  </si>
  <si>
    <t>Fletcher (excl GST)</t>
  </si>
  <si>
    <t>Fletcher (incl GST)</t>
  </si>
  <si>
    <t>WIR (Designed)</t>
  </si>
  <si>
    <t xml:space="preserve">Linen </t>
  </si>
  <si>
    <t>Excl GST</t>
  </si>
  <si>
    <t>Incl GST</t>
  </si>
  <si>
    <t>Set size</t>
  </si>
  <si>
    <t>Side panel</t>
  </si>
  <si>
    <t>Accessories</t>
  </si>
  <si>
    <t>Black</t>
  </si>
  <si>
    <t>Silver</t>
  </si>
  <si>
    <t>Site measure, Installation and rubbish disposal</t>
  </si>
  <si>
    <t>Greenland Homes Pricing February 2025</t>
  </si>
  <si>
    <t xml:space="preserve">Greenland Homes Pricing </t>
  </si>
  <si>
    <t>V1 0622</t>
  </si>
  <si>
    <t>Greenland</t>
  </si>
  <si>
    <t xml:space="preserve">Greenland </t>
  </si>
  <si>
    <t>Retail Price (incl GST)</t>
  </si>
  <si>
    <t>Extra for tinited mirror door</t>
  </si>
  <si>
    <t>I Robes</t>
  </si>
  <si>
    <t xml:space="preserve">The discount for Greenland for all I Robes is 10% off retail price.  </t>
  </si>
  <si>
    <t>Here is the discounted price for the most used standard I Robes</t>
  </si>
  <si>
    <t>Retail</t>
  </si>
  <si>
    <t>Any other I Robe</t>
  </si>
  <si>
    <t>Less 10% off retail</t>
  </si>
  <si>
    <t>Greenland Pricing February 2025</t>
  </si>
  <si>
    <t>G Land Discount</t>
  </si>
  <si>
    <t>G Land (excl GST)</t>
  </si>
  <si>
    <t>G Land (incl GST)</t>
  </si>
  <si>
    <t>Other - Install price</t>
  </si>
  <si>
    <t>For 4-5 Bed house or unit  $ 450.00 Site measure, Installation and rubbish disposal</t>
  </si>
  <si>
    <t>For 3 Bed house or unit  $ 350.00 Site measure, Installation and rubbish disposal</t>
  </si>
  <si>
    <t>For 2 Bed house or unit  $ 200.00 Site measure, Installation and rubbish disposal</t>
  </si>
  <si>
    <t>For Units x 4 and above unit  $ 450.00 Site measure, Installation and rubbish disposal</t>
  </si>
  <si>
    <t>House Without Sliding doors (3 bed or 4-5 bed houses)</t>
  </si>
  <si>
    <t>2025 Arrangements</t>
  </si>
  <si>
    <t>Building Company</t>
  </si>
  <si>
    <t>Payment Terms</t>
  </si>
  <si>
    <t xml:space="preserve">Installation </t>
  </si>
  <si>
    <t>Comments</t>
  </si>
  <si>
    <t>Fowler Homes</t>
  </si>
  <si>
    <t>20th Month</t>
  </si>
  <si>
    <t xml:space="preserve">Free  </t>
  </si>
  <si>
    <t>Nil</t>
  </si>
  <si>
    <t xml:space="preserve">Keep free install.  Longstanding customer. </t>
  </si>
  <si>
    <t>DJ Hewitt</t>
  </si>
  <si>
    <t>Nil* (see comments)</t>
  </si>
  <si>
    <t>50% install discount for jobs over $5,000.  Free install for over $8,500</t>
  </si>
  <si>
    <t>Metzger Builders</t>
  </si>
  <si>
    <t>ANA Developments</t>
  </si>
  <si>
    <t>DNA Structures</t>
  </si>
  <si>
    <t>5% install discount for jobs over $5,000.  Free install for over $8,500</t>
  </si>
  <si>
    <t>Signature Homes</t>
  </si>
  <si>
    <t>Cambuild</t>
  </si>
  <si>
    <t>Fletcher Living Apts</t>
  </si>
  <si>
    <t>Nil*</t>
  </si>
  <si>
    <t>*See separate pricing</t>
  </si>
  <si>
    <t>Fletcher Living Houses</t>
  </si>
  <si>
    <t>Greenland Homes</t>
  </si>
  <si>
    <t>Set sum</t>
  </si>
  <si>
    <t>Yes</t>
  </si>
  <si>
    <t>Shore Construction (Timaru)</t>
  </si>
  <si>
    <t>Supply</t>
  </si>
  <si>
    <t>Gray Builders</t>
  </si>
  <si>
    <t>Orange Homes</t>
  </si>
  <si>
    <t>Phoenix Homes</t>
  </si>
  <si>
    <t>AW Robertson (VVV group)</t>
  </si>
  <si>
    <t>20th month</t>
  </si>
  <si>
    <t>Quinn Homes</t>
  </si>
  <si>
    <t>Spanbuild</t>
  </si>
  <si>
    <t>Sunshione Homes</t>
  </si>
  <si>
    <t>Rules of the Game</t>
  </si>
  <si>
    <t>Deposits:</t>
  </si>
  <si>
    <t>50% deposit is payable on all jobs* (supply or install)</t>
  </si>
  <si>
    <t xml:space="preserve">* for an exception to this rule please put in the notes.  </t>
  </si>
  <si>
    <t xml:space="preserve">Ordering: </t>
  </si>
  <si>
    <t xml:space="preserve">If client  supplies measurements please attach copy of client confirmation email </t>
  </si>
  <si>
    <t>Client:</t>
  </si>
  <si>
    <t>Job No:</t>
  </si>
  <si>
    <t>Type:</t>
  </si>
  <si>
    <t>Package Number:</t>
  </si>
  <si>
    <t>Package Number:      of</t>
  </si>
  <si>
    <t>IR Prem Wardrobe</t>
  </si>
  <si>
    <t>Cabinet wardrobe</t>
  </si>
  <si>
    <t>Linen shelving</t>
  </si>
  <si>
    <t>Wardrobes Sub-total</t>
  </si>
  <si>
    <t>IR Premium Installation</t>
  </si>
  <si>
    <t>Cabinet installation</t>
  </si>
  <si>
    <t>Linen installation</t>
  </si>
  <si>
    <t>Sliding doors installation</t>
  </si>
  <si>
    <t>Installation Sub-total</t>
  </si>
  <si>
    <t>%</t>
  </si>
  <si>
    <t>Discount Wardrobes</t>
  </si>
  <si>
    <t>Discount Installation</t>
  </si>
  <si>
    <t>Discount Delivery</t>
  </si>
  <si>
    <t>Total Discount $</t>
  </si>
  <si>
    <t>Total Discount %</t>
  </si>
  <si>
    <t>Total For Quote</t>
  </si>
  <si>
    <t>Size(mm)</t>
  </si>
  <si>
    <t>Quantity</t>
  </si>
  <si>
    <t>Packing
Quantity</t>
  </si>
  <si>
    <t>Total package</t>
  </si>
  <si>
    <t>Weight Per package</t>
  </si>
  <si>
    <t>Total Weight</t>
  </si>
  <si>
    <t>M3 / Package</t>
  </si>
  <si>
    <t>Total
M3</t>
  </si>
  <si>
    <t>W</t>
  </si>
  <si>
    <t>D</t>
  </si>
  <si>
    <t>H</t>
  </si>
  <si>
    <t>25mm Board With Both Side Melamine  Finish</t>
  </si>
  <si>
    <t>Top Panel</t>
  </si>
  <si>
    <t>Back support</t>
  </si>
  <si>
    <t>Drawers(set of 3)</t>
    <phoneticPr fontId="0" type="noConversion"/>
  </si>
  <si>
    <t>Drawers(set of 3)</t>
  </si>
  <si>
    <t>Hanging bar 2012 w new bracket</t>
    <phoneticPr fontId="0" type="noConversion"/>
  </si>
  <si>
    <t>Standard Glass Frame Full Panel Door Sizes</t>
  </si>
  <si>
    <t>Opening Sizes</t>
  </si>
  <si>
    <t>Width</t>
  </si>
  <si>
    <t>Door Qty</t>
  </si>
  <si>
    <t>MDF reqd</t>
  </si>
  <si>
    <t>( Y/N )</t>
  </si>
  <si>
    <t>Qty</t>
  </si>
  <si>
    <t>Sides</t>
  </si>
  <si>
    <t>Top</t>
  </si>
  <si>
    <t>Bottom</t>
  </si>
  <si>
    <t>Mid</t>
  </si>
  <si>
    <t>Length</t>
  </si>
  <si>
    <t>Panel Size</t>
  </si>
  <si>
    <t>Panel Colour:</t>
  </si>
  <si>
    <t>MIRROR</t>
  </si>
  <si>
    <t>Door Size</t>
  </si>
  <si>
    <t>TOTAL</t>
  </si>
  <si>
    <t>QTY</t>
  </si>
  <si>
    <t>TOTAL ITEMS PER I-ROBE COMBINATION</t>
  </si>
  <si>
    <t>ITEMS PER I-ROBE COMBINATION</t>
  </si>
  <si>
    <t>Total I-Robe WIR</t>
  </si>
  <si>
    <t xml:space="preserve">TOTAL </t>
  </si>
  <si>
    <t>WIR 1</t>
  </si>
  <si>
    <t>WIR 2</t>
  </si>
  <si>
    <t>Total I-Robe Set Combos</t>
  </si>
  <si>
    <t xml:space="preserve">Total I-Robe </t>
  </si>
  <si>
    <t>KG</t>
  </si>
  <si>
    <t>M3</t>
  </si>
  <si>
    <t>JOB #</t>
  </si>
  <si>
    <t xml:space="preserve">INDIVIDUAL </t>
  </si>
  <si>
    <t>028 White</t>
  </si>
  <si>
    <t>ROOM NAME</t>
  </si>
  <si>
    <t>HEIGHT</t>
  </si>
  <si>
    <t>WIDTH</t>
  </si>
  <si>
    <t>MIRROR ORDER</t>
  </si>
  <si>
    <t>TINT</t>
  </si>
  <si>
    <t>Mirror QTY</t>
  </si>
  <si>
    <t>WRIKE LINK</t>
  </si>
  <si>
    <t>Job #</t>
  </si>
  <si>
    <t>MDF Strip Reqd (Y or N)</t>
  </si>
  <si>
    <t>Including GST</t>
  </si>
  <si>
    <t>EX GST</t>
  </si>
  <si>
    <t>GST</t>
  </si>
  <si>
    <t>Total Product</t>
  </si>
  <si>
    <t>Quote Totals</t>
  </si>
  <si>
    <t>From Install Sheet</t>
  </si>
  <si>
    <t>Discount Amount</t>
  </si>
  <si>
    <t>Sales Person</t>
  </si>
  <si>
    <t>ADDRESS</t>
  </si>
  <si>
    <t>CLIENT NAME</t>
  </si>
  <si>
    <t>PHONE #</t>
  </si>
  <si>
    <t>EMAIL</t>
  </si>
  <si>
    <t>POST CODE</t>
  </si>
  <si>
    <t>PO #</t>
  </si>
  <si>
    <t>BUILDING COMPANY</t>
  </si>
  <si>
    <t>INSTALL</t>
  </si>
  <si>
    <t>SHIP</t>
  </si>
  <si>
    <t>PICKUP</t>
  </si>
  <si>
    <t>SAI</t>
  </si>
  <si>
    <t>CORIN</t>
  </si>
  <si>
    <t>BRYCE</t>
  </si>
  <si>
    <t>ACCOUNTS</t>
  </si>
  <si>
    <t>DESIGN COMPLETE AND APPROVED</t>
  </si>
  <si>
    <t>QUOTE SENT</t>
  </si>
  <si>
    <t>QUOTE ACCEPTED / DEPOSIT SENT</t>
  </si>
  <si>
    <t>DEPOSIT PAID</t>
  </si>
  <si>
    <t>ACCOUNT PAID IN FULL</t>
  </si>
  <si>
    <t>JOB ENTERERD INTO UNLEASHED</t>
  </si>
  <si>
    <t>FINAL INVOICE EMAILED</t>
  </si>
  <si>
    <t>DISPATCH DATE</t>
  </si>
  <si>
    <t>PRODUCT</t>
  </si>
  <si>
    <t>MODEL</t>
  </si>
  <si>
    <t>COLOUR</t>
  </si>
  <si>
    <t>Notes</t>
  </si>
  <si>
    <t>028</t>
  </si>
  <si>
    <t>MDF</t>
  </si>
  <si>
    <t>DISPATCH</t>
  </si>
  <si>
    <t>PICKED BY</t>
  </si>
  <si>
    <t>DATE:</t>
  </si>
  <si>
    <t>TRACKING NO:</t>
  </si>
  <si>
    <t>SPECIAL NOTE:</t>
  </si>
  <si>
    <t xml:space="preserve">  I-ROBE</t>
  </si>
  <si>
    <t xml:space="preserve">  I-ROBE PREMIUM</t>
  </si>
  <si>
    <t xml:space="preserve">  FREESTANDING</t>
  </si>
  <si>
    <t xml:space="preserve">  CABINET</t>
  </si>
  <si>
    <t xml:space="preserve">  LINEN</t>
  </si>
  <si>
    <t xml:space="preserve">  ACCESSORIES</t>
  </si>
  <si>
    <t xml:space="preserve">  SLIDING DOORS</t>
  </si>
  <si>
    <r>
      <t>PREFERRED INSTALL DATE</t>
    </r>
    <r>
      <rPr>
        <sz val="9"/>
        <color theme="1"/>
        <rFont val="Aptos"/>
        <family val="2"/>
      </rPr>
      <t xml:space="preserve">:             </t>
    </r>
  </si>
  <si>
    <t xml:space="preserve">COMFIRMED DATE:                                     </t>
  </si>
  <si>
    <t xml:space="preserve">COMFIRMED TIME:                                     </t>
  </si>
  <si>
    <t>ASH</t>
  </si>
  <si>
    <t xml:space="preserve">SITE MEASURE DATE:     </t>
  </si>
  <si>
    <t xml:space="preserve">SITE MEASURE DONE     </t>
  </si>
  <si>
    <t xml:space="preserve">SITE MEASURE TIME:     </t>
  </si>
  <si>
    <t>LOCKBOX CODE</t>
  </si>
  <si>
    <t>ALARM CODE</t>
  </si>
  <si>
    <t>COPY WRIKE LINK TO CELL BELOW</t>
  </si>
  <si>
    <t xml:space="preserve">STREET </t>
  </si>
  <si>
    <t>CUSTOM</t>
  </si>
  <si>
    <t>Combos</t>
  </si>
  <si>
    <t>WIR</t>
  </si>
  <si>
    <t>Black Hardware</t>
  </si>
  <si>
    <t>TOP PANEL &amp; BACK SUPPORT CUT LIST</t>
  </si>
  <si>
    <t>TOP PANEL</t>
  </si>
  <si>
    <t>BACK SUPPORT</t>
  </si>
  <si>
    <t>CUT</t>
  </si>
  <si>
    <t>SHOE</t>
  </si>
  <si>
    <t>ROTATE 6 SHELF</t>
  </si>
  <si>
    <t>ROTATE 8 SHELF</t>
  </si>
  <si>
    <t>ROTATING 6 SHELF</t>
  </si>
  <si>
    <t>ROTATING 8 SHELF</t>
  </si>
  <si>
    <t>SHELF</t>
  </si>
  <si>
    <t xml:space="preserve">I Robe Pick List </t>
  </si>
  <si>
    <t xml:space="preserve">Sliding Door Spec Sheet </t>
  </si>
  <si>
    <t>025</t>
  </si>
  <si>
    <t>097</t>
  </si>
  <si>
    <t>065</t>
  </si>
  <si>
    <t>WHITE</t>
  </si>
  <si>
    <t>BLACK</t>
  </si>
  <si>
    <t>SILVER</t>
  </si>
  <si>
    <t>POWDER</t>
  </si>
  <si>
    <t>Y</t>
  </si>
  <si>
    <t>N</t>
  </si>
  <si>
    <t>FULL</t>
  </si>
  <si>
    <t>SECT</t>
  </si>
  <si>
    <t>Price Difference Combo</t>
  </si>
  <si>
    <t>Quanity</t>
  </si>
  <si>
    <t>DOOR SPECS</t>
  </si>
  <si>
    <t>ROOM DESCRIPTION</t>
  </si>
  <si>
    <t>675 Shelf</t>
  </si>
  <si>
    <t>Doors per set</t>
  </si>
  <si>
    <t>1800 Middle</t>
  </si>
  <si>
    <t>1800 Side LH</t>
  </si>
  <si>
    <t>1800 Side RH</t>
  </si>
  <si>
    <t>I Robe Flexi 450mm 6 Shelf</t>
  </si>
  <si>
    <t>I Robe Flexi 600mm 6 Shelf</t>
  </si>
  <si>
    <t>I Robe Flexi 450mm 3 Drawer</t>
  </si>
  <si>
    <t>I Robe Flexi 600mm 3 Drawer</t>
  </si>
  <si>
    <t>I Robe Flexi 450mm 6 Drawer</t>
  </si>
  <si>
    <t>I Robe Flexi 600mm 6 Drawer</t>
  </si>
  <si>
    <t>5 and 3 and 3B "U" Shape Walk In</t>
  </si>
  <si>
    <t>3B and 2 "L" Shape Walk In</t>
  </si>
  <si>
    <t>4 and 3 "L" Shape Walk In</t>
  </si>
  <si>
    <t>3B(6 x Drawers) and 2 "L" Shape Walk In</t>
  </si>
  <si>
    <t>A (Designer's Choice) "L" Shape Walk In</t>
  </si>
  <si>
    <t>3B(6 x Drawers) and 5(6 x Drawers) "L" Shape Walk In</t>
  </si>
  <si>
    <t>5 and 1 and 5 "U" Shape Walk In</t>
  </si>
  <si>
    <t>3B and 5 "L" Shape Walk In</t>
  </si>
  <si>
    <t>3 and 2 and 3 "U" Shape Walk In</t>
  </si>
  <si>
    <t>6A and 5 "L" Shape Walk In3</t>
  </si>
  <si>
    <t>(silver, white, black)</t>
  </si>
  <si>
    <t>SET #</t>
  </si>
  <si>
    <t>SHIPPING M3</t>
  </si>
  <si>
    <t>COMPANY</t>
  </si>
  <si>
    <t>PICK UP</t>
  </si>
  <si>
    <t>Mirros Ordered</t>
  </si>
  <si>
    <t>Tracks Cut</t>
  </si>
  <si>
    <t>Job Completed</t>
  </si>
  <si>
    <t>WIR 3</t>
  </si>
  <si>
    <t>WIR 4</t>
  </si>
  <si>
    <t>WIR 5</t>
  </si>
  <si>
    <t>INSTALL COMPLETE</t>
  </si>
  <si>
    <t>SUBURB / TOWN</t>
  </si>
  <si>
    <t>GATE  CODE</t>
  </si>
  <si>
    <t>DOOR CODE</t>
  </si>
  <si>
    <t>SITE ACCESS DETAILS:</t>
  </si>
  <si>
    <t xml:space="preserve">  HANDLES &amp; HANGBARS             SILVER    /    BLACK</t>
  </si>
  <si>
    <t>Install Cost</t>
  </si>
  <si>
    <t>i-Robe Combos</t>
  </si>
  <si>
    <t>i-Robe wardrobe WIR</t>
  </si>
  <si>
    <t>I Robe installation WIR</t>
  </si>
  <si>
    <t>i-Robe Combos Installation</t>
  </si>
  <si>
    <t>Combo Total</t>
  </si>
  <si>
    <t>INSTALL PER ITEM</t>
  </si>
  <si>
    <t>Total Install Cost</t>
  </si>
  <si>
    <t>Delivery/freight/Rubbish</t>
  </si>
  <si>
    <t>Room Description</t>
  </si>
  <si>
    <t>Custober Name</t>
  </si>
  <si>
    <t>Pickup Signature</t>
  </si>
  <si>
    <t>Pick Person Name</t>
  </si>
  <si>
    <t>DISPATCH SLIP</t>
  </si>
  <si>
    <t>Dispatch Person</t>
  </si>
  <si>
    <t>Expected Dispatch Date</t>
  </si>
  <si>
    <t>Actual Dispatch Date</t>
  </si>
  <si>
    <t>WALL MAX SIZE</t>
  </si>
  <si>
    <t>2400x1845</t>
  </si>
  <si>
    <t>2700x1845  2400x2400</t>
  </si>
  <si>
    <t>1800x2400x2400</t>
  </si>
  <si>
    <t>1845x2700   2400x2400</t>
  </si>
  <si>
    <t>2400x2400x2400</t>
  </si>
  <si>
    <t>1845x2700</t>
  </si>
  <si>
    <t>3500x1845</t>
  </si>
  <si>
    <t>3850x2400</t>
  </si>
  <si>
    <t>metre price</t>
  </si>
  <si>
    <t>Length Price</t>
  </si>
  <si>
    <t>Cut Length</t>
  </si>
  <si>
    <t>SW Linen Slat price</t>
  </si>
  <si>
    <t>Cleats/Brackets each</t>
  </si>
  <si>
    <t>Exchange rate</t>
  </si>
  <si>
    <t>HENARE</t>
  </si>
  <si>
    <t>Cover caps (085)</t>
  </si>
  <si>
    <t xml:space="preserve">BUILDER CONTACT </t>
  </si>
  <si>
    <t>Payment Method</t>
  </si>
  <si>
    <t>Eftpos</t>
  </si>
  <si>
    <t>Account</t>
  </si>
  <si>
    <t>BankTrans</t>
  </si>
  <si>
    <t>Cash</t>
  </si>
  <si>
    <t>900 Module</t>
  </si>
  <si>
    <t>900 Shelf</t>
  </si>
  <si>
    <t>8G x 50MM Screws</t>
  </si>
  <si>
    <t>8G x 32MM Screws</t>
  </si>
  <si>
    <t>1200 Side LH</t>
  </si>
  <si>
    <t>1200 Side RH</t>
  </si>
  <si>
    <t>380 Side</t>
  </si>
  <si>
    <t xml:space="preserve">380 Side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</si>
</sst>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409]d\-mmm;@"/>
    <numFmt numFmtId="165" formatCode="dd/mm/yy;@"/>
    <numFmt numFmtId="166" formatCode="_-&quot;$&quot;* #,##0_-;\-&quot;$&quot;* #,##0_-;_-&quot;$&quot;* &quot;-&quot;??_-;_-@_-"/>
    <numFmt numFmtId="167" formatCode="_-* #,##0_-;\-* #,##0_-;_-* &quot;-&quot;??_-;_-@_-"/>
    <numFmt numFmtId="168" formatCode="&quot;$&quot;#,##0.00"/>
    <numFmt numFmtId="169" formatCode="d/mm/yy;@"/>
    <numFmt numFmtId="170" formatCode="0;\-0;;@"/>
    <numFmt numFmtId="171" formatCode="#,##0.##;\-#,##0.##;;@"/>
    <numFmt numFmtId="172" formatCode="0.000_ ;\-0.000\ "/>
    <numFmt numFmtId="173" formatCode="_-[$$-1409]* #,##0.00_-;\-[$$-1409]* #,##0.00_-;_-[$$-1409]* &quot;-&quot;??_-;_-@_-"/>
    <numFmt numFmtId="174" formatCode="#,##0_ ;\-#,##0\ "/>
    <numFmt numFmtId="175" formatCode="0.000"/>
  </numFmts>
  <fonts count="9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  <scheme val="minor"/>
    </font>
    <font>
      <b/>
      <i/>
      <sz val="10"/>
      <color indexed="8"/>
      <name val="Calibri"/>
      <family val="2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color indexed="8"/>
      <name val="Calibri"/>
      <family val="2"/>
    </font>
    <font>
      <b/>
      <i/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indexed="8"/>
      <name val="Calibri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4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name val="Calibri"/>
      <family val="2"/>
    </font>
    <font>
      <sz val="7"/>
      <color theme="1"/>
      <name val="Segoe UI"/>
      <family val="2"/>
    </font>
    <font>
      <b/>
      <sz val="2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b/>
      <sz val="12"/>
      <color rgb="FF000000"/>
      <name val="Aptos"/>
      <family val="2"/>
    </font>
    <font>
      <b/>
      <sz val="10"/>
      <color theme="1"/>
      <name val="Aptos"/>
      <family val="2"/>
    </font>
    <font>
      <b/>
      <sz val="11"/>
      <color theme="1"/>
      <name val="Aptos"/>
      <family val="2"/>
    </font>
    <font>
      <b/>
      <sz val="10"/>
      <color rgb="FF000000"/>
      <name val="Aptos"/>
      <family val="2"/>
    </font>
    <font>
      <sz val="10"/>
      <color theme="1"/>
      <name val="Aptos"/>
      <family val="2"/>
    </font>
    <font>
      <sz val="10"/>
      <color rgb="FF000000"/>
      <name val="Aptos"/>
      <family val="2"/>
    </font>
    <font>
      <b/>
      <sz val="14"/>
      <color rgb="FF000000"/>
      <name val="Aptos"/>
      <family val="2"/>
    </font>
    <font>
      <b/>
      <sz val="8"/>
      <color theme="1"/>
      <name val="Aptos"/>
      <family val="2"/>
    </font>
    <font>
      <b/>
      <sz val="9"/>
      <color theme="1"/>
      <name val="Aptos"/>
      <family val="2"/>
    </font>
    <font>
      <sz val="9"/>
      <color theme="1"/>
      <name val="Aptos"/>
      <family val="2"/>
    </font>
    <font>
      <sz val="8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b/>
      <sz val="20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Aptos"/>
      <family val="2"/>
    </font>
    <font>
      <sz val="2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Aptos"/>
      <family val="2"/>
    </font>
    <font>
      <b/>
      <sz val="16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0D3E4"/>
        <bgColor indexed="64"/>
      </patternFill>
    </fill>
    <fill>
      <patternFill patternType="solid">
        <fgColor rgb="FFE690D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/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/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1018">
    <xf numFmtId="0" fontId="0" fillId="0" borderId="0" xfId="0"/>
    <xf numFmtId="0" fontId="3" fillId="0" borderId="0" xfId="0" applyFont="1"/>
    <xf numFmtId="0" fontId="3" fillId="0" borderId="0" xfId="0" applyFont="1" applyAlignment="1">
      <alignment vertical="top"/>
    </xf>
    <xf numFmtId="49" fontId="4" fillId="0" borderId="0" xfId="0" applyNumberFormat="1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0" xfId="0" applyFont="1"/>
    <xf numFmtId="0" fontId="2" fillId="0" borderId="0" xfId="0" applyFont="1"/>
    <xf numFmtId="0" fontId="5" fillId="0" borderId="0" xfId="0" applyFont="1" applyAlignment="1">
      <alignment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vertical="top"/>
    </xf>
    <xf numFmtId="1" fontId="3" fillId="2" borderId="6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0" xfId="0" applyFont="1" applyBorder="1"/>
    <xf numFmtId="0" fontId="3" fillId="0" borderId="6" xfId="0" applyFont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7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top"/>
    </xf>
    <xf numFmtId="0" fontId="5" fillId="0" borderId="6" xfId="0" applyFont="1" applyBorder="1" applyAlignment="1">
      <alignment horizontal="center"/>
    </xf>
    <xf numFmtId="0" fontId="3" fillId="0" borderId="30" xfId="0" applyFont="1" applyBorder="1"/>
    <xf numFmtId="0" fontId="3" fillId="0" borderId="6" xfId="0" applyFont="1" applyBorder="1"/>
    <xf numFmtId="0" fontId="3" fillId="0" borderId="21" xfId="0" applyFont="1" applyBorder="1"/>
    <xf numFmtId="44" fontId="3" fillId="0" borderId="0" xfId="3" applyFont="1" applyAlignment="1">
      <alignment vertical="top"/>
    </xf>
    <xf numFmtId="44" fontId="3" fillId="0" borderId="17" xfId="3" applyFont="1" applyBorder="1" applyAlignment="1">
      <alignment vertical="top"/>
    </xf>
    <xf numFmtId="2" fontId="3" fillId="0" borderId="0" xfId="0" applyNumberFormat="1" applyFont="1"/>
    <xf numFmtId="44" fontId="3" fillId="0" borderId="0" xfId="0" applyNumberFormat="1" applyFont="1"/>
    <xf numFmtId="0" fontId="5" fillId="0" borderId="0" xfId="0" applyFont="1" applyAlignment="1">
      <alignment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5" fillId="0" borderId="15" xfId="0" applyFont="1" applyBorder="1" applyAlignment="1">
      <alignment horizontal="left" vertical="center"/>
    </xf>
    <xf numFmtId="0" fontId="4" fillId="0" borderId="28" xfId="0" applyFont="1" applyBorder="1"/>
    <xf numFmtId="49" fontId="4" fillId="0" borderId="14" xfId="0" applyNumberFormat="1" applyFont="1" applyBorder="1" applyAlignment="1">
      <alignment horizontal="center"/>
    </xf>
    <xf numFmtId="49" fontId="4" fillId="0" borderId="9" xfId="0" applyNumberFormat="1" applyFont="1" applyBorder="1" applyAlignment="1">
      <alignment horizontal="center"/>
    </xf>
    <xf numFmtId="49" fontId="4" fillId="0" borderId="3" xfId="0" applyNumberFormat="1" applyFont="1" applyBorder="1" applyAlignment="1">
      <alignment horizontal="center"/>
    </xf>
    <xf numFmtId="0" fontId="5" fillId="0" borderId="6" xfId="0" applyFont="1" applyBorder="1"/>
    <xf numFmtId="0" fontId="3" fillId="0" borderId="0" xfId="0" applyFont="1" applyAlignment="1">
      <alignment wrapText="1"/>
    </xf>
    <xf numFmtId="0" fontId="3" fillId="0" borderId="29" xfId="0" applyFont="1" applyBorder="1"/>
    <xf numFmtId="1" fontId="3" fillId="0" borderId="6" xfId="0" applyNumberFormat="1" applyFont="1" applyBorder="1" applyAlignment="1">
      <alignment horizontal="center"/>
    </xf>
    <xf numFmtId="49" fontId="3" fillId="0" borderId="10" xfId="0" applyNumberFormat="1" applyFont="1" applyBorder="1" applyAlignment="1" applyProtection="1">
      <alignment horizontal="left"/>
      <protection locked="0"/>
    </xf>
    <xf numFmtId="0" fontId="3" fillId="0" borderId="20" xfId="0" applyFont="1" applyBorder="1" applyAlignment="1" applyProtection="1">
      <alignment horizontal="center"/>
      <protection locked="0"/>
    </xf>
    <xf numFmtId="0" fontId="8" fillId="0" borderId="0" xfId="0" applyFont="1" applyAlignment="1">
      <alignment wrapText="1"/>
    </xf>
    <xf numFmtId="0" fontId="5" fillId="0" borderId="15" xfId="0" applyFont="1" applyBorder="1" applyAlignment="1">
      <alignment horizontal="left" vertical="center" wrapText="1"/>
    </xf>
    <xf numFmtId="0" fontId="4" fillId="0" borderId="6" xfId="0" applyFont="1" applyBorder="1"/>
    <xf numFmtId="0" fontId="4" fillId="0" borderId="7" xfId="0" applyFont="1" applyBorder="1" applyAlignment="1">
      <alignment horizontal="center"/>
    </xf>
    <xf numFmtId="49" fontId="4" fillId="0" borderId="7" xfId="0" applyNumberFormat="1" applyFont="1" applyBorder="1" applyAlignment="1">
      <alignment horizontal="center"/>
    </xf>
    <xf numFmtId="49" fontId="4" fillId="0" borderId="17" xfId="0" applyNumberFormat="1" applyFont="1" applyBorder="1" applyAlignment="1">
      <alignment horizontal="center"/>
    </xf>
    <xf numFmtId="49" fontId="4" fillId="0" borderId="16" xfId="0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 vertical="top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1" fontId="3" fillId="0" borderId="19" xfId="0" applyNumberFormat="1" applyFont="1" applyBorder="1" applyAlignment="1" applyProtection="1">
      <alignment horizontal="center"/>
      <protection locked="0"/>
    </xf>
    <xf numFmtId="1" fontId="3" fillId="0" borderId="24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1" fontId="3" fillId="0" borderId="0" xfId="0" applyNumberFormat="1" applyFont="1"/>
    <xf numFmtId="0" fontId="3" fillId="2" borderId="8" xfId="0" applyFont="1" applyFill="1" applyBorder="1" applyAlignment="1" applyProtection="1">
      <alignment horizontal="center"/>
      <protection locked="0"/>
    </xf>
    <xf numFmtId="0" fontId="3" fillId="2" borderId="18" xfId="0" applyFont="1" applyFill="1" applyBorder="1" applyAlignment="1" applyProtection="1">
      <alignment horizontal="center"/>
      <protection locked="0"/>
    </xf>
    <xf numFmtId="1" fontId="3" fillId="0" borderId="18" xfId="0" applyNumberFormat="1" applyFont="1" applyBorder="1" applyAlignment="1" applyProtection="1">
      <alignment horizontal="center"/>
      <protection locked="0"/>
    </xf>
    <xf numFmtId="1" fontId="3" fillId="2" borderId="0" xfId="0" applyNumberFormat="1" applyFont="1" applyFill="1" applyAlignment="1" applyProtection="1">
      <alignment horizontal="center"/>
      <protection locked="0"/>
    </xf>
    <xf numFmtId="1" fontId="3" fillId="2" borderId="27" xfId="0" applyNumberFormat="1" applyFont="1" applyFill="1" applyBorder="1" applyAlignment="1" applyProtection="1">
      <alignment horizontal="center"/>
      <protection locked="0"/>
    </xf>
    <xf numFmtId="1" fontId="3" fillId="2" borderId="6" xfId="0" applyNumberFormat="1" applyFont="1" applyFill="1" applyBorder="1"/>
    <xf numFmtId="1" fontId="3" fillId="2" borderId="25" xfId="0" applyNumberFormat="1" applyFont="1" applyFill="1" applyBorder="1" applyAlignment="1" applyProtection="1">
      <alignment horizontal="center"/>
      <protection locked="0"/>
    </xf>
    <xf numFmtId="0" fontId="3" fillId="2" borderId="22" xfId="0" applyFont="1" applyFill="1" applyBorder="1" applyAlignment="1" applyProtection="1">
      <alignment horizontal="center"/>
      <protection locked="0"/>
    </xf>
    <xf numFmtId="1" fontId="3" fillId="2" borderId="26" xfId="0" applyNumberFormat="1" applyFont="1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top"/>
    </xf>
    <xf numFmtId="0" fontId="3" fillId="0" borderId="5" xfId="0" applyFont="1" applyBorder="1" applyAlignment="1" applyProtection="1">
      <alignment horizontal="center"/>
      <protection locked="0"/>
    </xf>
    <xf numFmtId="1" fontId="3" fillId="0" borderId="23" xfId="0" applyNumberFormat="1" applyFont="1" applyBorder="1"/>
    <xf numFmtId="0" fontId="5" fillId="0" borderId="35" xfId="0" applyFont="1" applyBorder="1" applyAlignment="1">
      <alignment vertical="top"/>
    </xf>
    <xf numFmtId="0" fontId="3" fillId="0" borderId="35" xfId="0" applyFont="1" applyBorder="1" applyAlignment="1">
      <alignment horizontal="center" vertical="top"/>
    </xf>
    <xf numFmtId="0" fontId="11" fillId="0" borderId="6" xfId="0" applyFont="1" applyBorder="1"/>
    <xf numFmtId="0" fontId="11" fillId="0" borderId="6" xfId="0" applyFont="1" applyBorder="1" applyAlignment="1">
      <alignment horizontal="center"/>
    </xf>
    <xf numFmtId="166" fontId="3" fillId="0" borderId="6" xfId="3" applyNumberFormat="1" applyFont="1" applyBorder="1"/>
    <xf numFmtId="44" fontId="3" fillId="0" borderId="6" xfId="3" applyFont="1" applyBorder="1"/>
    <xf numFmtId="0" fontId="3" fillId="0" borderId="5" xfId="0" applyFont="1" applyBorder="1"/>
    <xf numFmtId="2" fontId="3" fillId="0" borderId="6" xfId="0" applyNumberFormat="1" applyFont="1" applyBorder="1"/>
    <xf numFmtId="0" fontId="5" fillId="0" borderId="2" xfId="0" applyFont="1" applyBorder="1" applyAlignment="1">
      <alignment horizontal="left" vertical="center"/>
    </xf>
    <xf numFmtId="0" fontId="13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0" fillId="0" borderId="12" xfId="0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9" fillId="0" borderId="0" xfId="0" applyFont="1"/>
    <xf numFmtId="0" fontId="20" fillId="0" borderId="0" xfId="0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5" fillId="0" borderId="23" xfId="0" applyFont="1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3" fillId="0" borderId="4" xfId="0" applyFont="1" applyBorder="1" applyAlignment="1">
      <alignment horizontal="center"/>
    </xf>
    <xf numFmtId="2" fontId="0" fillId="0" borderId="0" xfId="0" applyNumberFormat="1"/>
    <xf numFmtId="0" fontId="0" fillId="0" borderId="49" xfId="0" applyBorder="1"/>
    <xf numFmtId="0" fontId="21" fillId="0" borderId="51" xfId="0" applyFont="1" applyBorder="1" applyAlignment="1">
      <alignment horizontal="center" vertical="center"/>
    </xf>
    <xf numFmtId="0" fontId="2" fillId="0" borderId="38" xfId="0" applyFont="1" applyBorder="1"/>
    <xf numFmtId="0" fontId="16" fillId="0" borderId="52" xfId="0" applyFont="1" applyBorder="1" applyAlignment="1">
      <alignment horizontal="center"/>
    </xf>
    <xf numFmtId="0" fontId="16" fillId="0" borderId="53" xfId="0" applyFont="1" applyBorder="1"/>
    <xf numFmtId="8" fontId="16" fillId="0" borderId="53" xfId="0" applyNumberFormat="1" applyFont="1" applyBorder="1"/>
    <xf numFmtId="8" fontId="16" fillId="0" borderId="54" xfId="0" applyNumberFormat="1" applyFont="1" applyBorder="1"/>
    <xf numFmtId="0" fontId="2" fillId="0" borderId="12" xfId="0" applyFont="1" applyBorder="1"/>
    <xf numFmtId="0" fontId="16" fillId="0" borderId="27" xfId="0" applyFont="1" applyBorder="1" applyAlignment="1">
      <alignment horizontal="center"/>
    </xf>
    <xf numFmtId="0" fontId="16" fillId="0" borderId="27" xfId="0" applyFont="1" applyBorder="1"/>
    <xf numFmtId="8" fontId="16" fillId="0" borderId="27" xfId="0" applyNumberFormat="1" applyFont="1" applyBorder="1"/>
    <xf numFmtId="8" fontId="16" fillId="0" borderId="55" xfId="0" applyNumberFormat="1" applyFont="1" applyBorder="1"/>
    <xf numFmtId="0" fontId="0" fillId="0" borderId="13" xfId="0" applyBorder="1"/>
    <xf numFmtId="0" fontId="16" fillId="0" borderId="56" xfId="0" applyFont="1" applyBorder="1" applyAlignment="1">
      <alignment horizontal="center"/>
    </xf>
    <xf numFmtId="0" fontId="16" fillId="0" borderId="57" xfId="0" applyFont="1" applyBorder="1"/>
    <xf numFmtId="8" fontId="16" fillId="0" borderId="58" xfId="0" applyNumberFormat="1" applyFont="1" applyBorder="1"/>
    <xf numFmtId="8" fontId="16" fillId="0" borderId="59" xfId="0" applyNumberFormat="1" applyFont="1" applyBorder="1"/>
    <xf numFmtId="0" fontId="16" fillId="0" borderId="53" xfId="0" applyFont="1" applyBorder="1" applyAlignment="1">
      <alignment horizontal="center"/>
    </xf>
    <xf numFmtId="8" fontId="16" fillId="0" borderId="53" xfId="0" applyNumberFormat="1" applyFont="1" applyBorder="1" applyAlignment="1">
      <alignment horizontal="right"/>
    </xf>
    <xf numFmtId="8" fontId="16" fillId="0" borderId="27" xfId="0" applyNumberFormat="1" applyFont="1" applyBorder="1" applyAlignment="1">
      <alignment horizontal="right"/>
    </xf>
    <xf numFmtId="0" fontId="16" fillId="0" borderId="57" xfId="0" applyFont="1" applyBorder="1" applyAlignment="1">
      <alignment horizontal="center"/>
    </xf>
    <xf numFmtId="0" fontId="16" fillId="0" borderId="58" xfId="0" applyFont="1" applyBorder="1"/>
    <xf numFmtId="0" fontId="16" fillId="0" borderId="52" xfId="0" applyFont="1" applyBorder="1"/>
    <xf numFmtId="8" fontId="16" fillId="0" borderId="52" xfId="0" applyNumberFormat="1" applyFont="1" applyBorder="1"/>
    <xf numFmtId="8" fontId="16" fillId="0" borderId="57" xfId="0" applyNumberFormat="1" applyFont="1" applyBorder="1"/>
    <xf numFmtId="8" fontId="16" fillId="0" borderId="44" xfId="0" applyNumberFormat="1" applyFont="1" applyBorder="1"/>
    <xf numFmtId="0" fontId="2" fillId="0" borderId="49" xfId="0" applyFont="1" applyBorder="1"/>
    <xf numFmtId="0" fontId="16" fillId="0" borderId="60" xfId="0" applyFont="1" applyBorder="1" applyAlignment="1">
      <alignment horizontal="center"/>
    </xf>
    <xf numFmtId="0" fontId="16" fillId="0" borderId="61" xfId="0" applyFont="1" applyBorder="1" applyAlignment="1">
      <alignment horizontal="center"/>
    </xf>
    <xf numFmtId="0" fontId="16" fillId="0" borderId="62" xfId="0" applyFont="1" applyBorder="1"/>
    <xf numFmtId="0" fontId="16" fillId="0" borderId="60" xfId="0" applyFont="1" applyBorder="1" applyAlignment="1">
      <alignment horizontal="left"/>
    </xf>
    <xf numFmtId="0" fontId="8" fillId="0" borderId="51" xfId="0" applyFont="1" applyBorder="1" applyAlignment="1">
      <alignment horizontal="center"/>
    </xf>
    <xf numFmtId="0" fontId="8" fillId="0" borderId="51" xfId="0" applyFont="1" applyBorder="1" applyAlignment="1">
      <alignment horizontal="right"/>
    </xf>
    <xf numFmtId="0" fontId="23" fillId="0" borderId="51" xfId="0" applyFont="1" applyBorder="1" applyAlignment="1">
      <alignment horizontal="right"/>
    </xf>
    <xf numFmtId="8" fontId="16" fillId="0" borderId="63" xfId="0" applyNumberFormat="1" applyFont="1" applyBorder="1"/>
    <xf numFmtId="0" fontId="0" fillId="0" borderId="64" xfId="0" applyBorder="1"/>
    <xf numFmtId="9" fontId="9" fillId="0" borderId="65" xfId="2" applyFont="1" applyBorder="1" applyAlignment="1">
      <alignment horizontal="center"/>
    </xf>
    <xf numFmtId="0" fontId="16" fillId="0" borderId="66" xfId="0" applyFont="1" applyBorder="1"/>
    <xf numFmtId="9" fontId="16" fillId="0" borderId="66" xfId="2" applyFont="1" applyBorder="1" applyAlignment="1"/>
    <xf numFmtId="8" fontId="16" fillId="0" borderId="67" xfId="0" applyNumberFormat="1" applyFont="1" applyBorder="1"/>
    <xf numFmtId="0" fontId="0" fillId="0" borderId="68" xfId="0" applyBorder="1"/>
    <xf numFmtId="9" fontId="9" fillId="0" borderId="19" xfId="2" applyFont="1" applyBorder="1" applyAlignment="1">
      <alignment horizontal="center"/>
    </xf>
    <xf numFmtId="0" fontId="16" fillId="0" borderId="18" xfId="0" applyFont="1" applyBorder="1"/>
    <xf numFmtId="9" fontId="16" fillId="0" borderId="69" xfId="2" applyFont="1" applyBorder="1" applyAlignment="1">
      <alignment horizontal="right"/>
    </xf>
    <xf numFmtId="8" fontId="16" fillId="0" borderId="70" xfId="0" applyNumberFormat="1" applyFont="1" applyBorder="1"/>
    <xf numFmtId="9" fontId="9" fillId="0" borderId="18" xfId="2" applyFont="1" applyBorder="1" applyAlignment="1">
      <alignment horizontal="center"/>
    </xf>
    <xf numFmtId="0" fontId="16" fillId="0" borderId="71" xfId="0" applyFont="1" applyBorder="1"/>
    <xf numFmtId="0" fontId="0" fillId="0" borderId="37" xfId="0" applyBorder="1"/>
    <xf numFmtId="0" fontId="6" fillId="0" borderId="37" xfId="0" applyFont="1" applyBorder="1" applyAlignment="1">
      <alignment horizontal="right"/>
    </xf>
    <xf numFmtId="8" fontId="6" fillId="0" borderId="72" xfId="0" applyNumberFormat="1" applyFont="1" applyBorder="1"/>
    <xf numFmtId="0" fontId="8" fillId="0" borderId="0" xfId="0" applyFont="1"/>
    <xf numFmtId="0" fontId="16" fillId="0" borderId="0" xfId="0" applyFont="1"/>
    <xf numFmtId="6" fontId="16" fillId="0" borderId="0" xfId="0" applyNumberFormat="1" applyFont="1"/>
    <xf numFmtId="0" fontId="0" fillId="0" borderId="6" xfId="0" applyBorder="1"/>
    <xf numFmtId="0" fontId="6" fillId="3" borderId="0" xfId="0" applyFont="1" applyFill="1"/>
    <xf numFmtId="0" fontId="3" fillId="3" borderId="0" xfId="0" applyFont="1" applyFill="1"/>
    <xf numFmtId="0" fontId="24" fillId="3" borderId="6" xfId="0" applyFont="1" applyFill="1" applyBorder="1"/>
    <xf numFmtId="0" fontId="6" fillId="3" borderId="0" xfId="0" applyFont="1" applyFill="1" applyAlignment="1">
      <alignment horizontal="center"/>
    </xf>
    <xf numFmtId="0" fontId="25" fillId="3" borderId="0" xfId="0" applyFont="1" applyFill="1" applyAlignment="1">
      <alignment horizontal="center"/>
    </xf>
    <xf numFmtId="0" fontId="25" fillId="3" borderId="0" xfId="0" applyFont="1" applyFill="1"/>
    <xf numFmtId="0" fontId="6" fillId="3" borderId="0" xfId="0" applyFont="1" applyFill="1" applyAlignment="1">
      <alignment vertical="center"/>
    </xf>
    <xf numFmtId="0" fontId="0" fillId="3" borderId="0" xfId="0" applyFill="1"/>
    <xf numFmtId="0" fontId="13" fillId="0" borderId="6" xfId="0" applyFont="1" applyBorder="1"/>
    <xf numFmtId="0" fontId="3" fillId="0" borderId="6" xfId="0" applyFont="1" applyBorder="1" applyAlignment="1" applyProtection="1">
      <alignment horizontal="center"/>
      <protection locked="0"/>
    </xf>
    <xf numFmtId="1" fontId="3" fillId="0" borderId="6" xfId="0" applyNumberFormat="1" applyFont="1" applyBorder="1" applyAlignment="1" applyProtection="1">
      <alignment horizontal="center"/>
      <protection locked="0"/>
    </xf>
    <xf numFmtId="49" fontId="3" fillId="0" borderId="0" xfId="0" applyNumberFormat="1" applyFont="1" applyAlignment="1" applyProtection="1">
      <alignment horizontal="left"/>
      <protection locked="0"/>
    </xf>
    <xf numFmtId="2" fontId="5" fillId="0" borderId="0" xfId="0" applyNumberFormat="1" applyFont="1"/>
    <xf numFmtId="0" fontId="30" fillId="3" borderId="6" xfId="0" applyFont="1" applyFill="1" applyBorder="1"/>
    <xf numFmtId="0" fontId="31" fillId="3" borderId="6" xfId="0" applyFont="1" applyFill="1" applyBorder="1"/>
    <xf numFmtId="0" fontId="31" fillId="0" borderId="6" xfId="0" applyFont="1" applyBorder="1"/>
    <xf numFmtId="0" fontId="30" fillId="0" borderId="6" xfId="0" applyFont="1" applyBorder="1" applyAlignment="1">
      <alignment horizontal="center" vertical="center" wrapText="1"/>
    </xf>
    <xf numFmtId="0" fontId="30" fillId="0" borderId="6" xfId="0" applyFont="1" applyBorder="1"/>
    <xf numFmtId="44" fontId="31" fillId="0" borderId="6" xfId="3" applyFont="1" applyBorder="1"/>
    <xf numFmtId="2" fontId="31" fillId="0" borderId="6" xfId="0" applyNumberFormat="1" applyFont="1" applyBorder="1"/>
    <xf numFmtId="0" fontId="3" fillId="0" borderId="37" xfId="0" applyFont="1" applyBorder="1"/>
    <xf numFmtId="0" fontId="3" fillId="0" borderId="37" xfId="0" applyFont="1" applyBorder="1" applyAlignment="1">
      <alignment horizontal="center"/>
    </xf>
    <xf numFmtId="1" fontId="3" fillId="0" borderId="37" xfId="0" applyNumberFormat="1" applyFont="1" applyBorder="1"/>
    <xf numFmtId="0" fontId="25" fillId="0" borderId="0" xfId="0" applyFont="1" applyAlignment="1">
      <alignment horizontal="left"/>
    </xf>
    <xf numFmtId="0" fontId="6" fillId="0" borderId="0" xfId="0" applyFont="1" applyAlignment="1">
      <alignment horizontal="center" vertical="center"/>
    </xf>
    <xf numFmtId="0" fontId="3" fillId="0" borderId="1" xfId="0" applyFont="1" applyBorder="1" applyAlignment="1">
      <alignment vertical="top"/>
    </xf>
    <xf numFmtId="0" fontId="5" fillId="0" borderId="35" xfId="0" applyFont="1" applyBorder="1" applyAlignment="1">
      <alignment horizontal="center" vertical="top" wrapText="1"/>
    </xf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43" fontId="3" fillId="0" borderId="4" xfId="0" applyNumberFormat="1" applyFont="1" applyBorder="1"/>
    <xf numFmtId="43" fontId="3" fillId="0" borderId="6" xfId="0" applyNumberFormat="1" applyFont="1" applyBorder="1"/>
    <xf numFmtId="43" fontId="3" fillId="0" borderId="2" xfId="0" applyNumberFormat="1" applyFont="1" applyBorder="1"/>
    <xf numFmtId="166" fontId="0" fillId="0" borderId="6" xfId="3" applyNumberFormat="1" applyFont="1" applyBorder="1"/>
    <xf numFmtId="166" fontId="0" fillId="0" borderId="6" xfId="3" applyNumberFormat="1" applyFont="1" applyFill="1" applyBorder="1"/>
    <xf numFmtId="0" fontId="35" fillId="0" borderId="0" xfId="0" applyFont="1" applyAlignment="1">
      <alignment vertical="center" wrapText="1"/>
    </xf>
    <xf numFmtId="0" fontId="36" fillId="0" borderId="0" xfId="0" applyFont="1" applyAlignment="1">
      <alignment horizontal="right" wrapText="1"/>
    </xf>
    <xf numFmtId="0" fontId="36" fillId="0" borderId="0" xfId="0" applyFont="1" applyAlignment="1">
      <alignment vertical="center" wrapText="1"/>
    </xf>
    <xf numFmtId="6" fontId="36" fillId="0" borderId="0" xfId="0" applyNumberFormat="1" applyFont="1" applyAlignment="1">
      <alignment vertical="center" wrapText="1"/>
    </xf>
    <xf numFmtId="0" fontId="36" fillId="0" borderId="0" xfId="0" applyFont="1"/>
    <xf numFmtId="0" fontId="36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37" xfId="0" applyFont="1" applyBorder="1" applyAlignment="1">
      <alignment vertical="center" wrapText="1"/>
    </xf>
    <xf numFmtId="0" fontId="37" fillId="0" borderId="0" xfId="0" applyFont="1"/>
    <xf numFmtId="0" fontId="38" fillId="0" borderId="6" xfId="0" applyFont="1" applyBorder="1"/>
    <xf numFmtId="43" fontId="3" fillId="0" borderId="6" xfId="6" applyFont="1" applyBorder="1"/>
    <xf numFmtId="9" fontId="3" fillId="0" borderId="6" xfId="4" applyFont="1" applyBorder="1"/>
    <xf numFmtId="0" fontId="33" fillId="0" borderId="6" xfId="0" applyFont="1" applyBorder="1"/>
    <xf numFmtId="0" fontId="34" fillId="0" borderId="6" xfId="0" applyFont="1" applyBorder="1"/>
    <xf numFmtId="0" fontId="33" fillId="0" borderId="6" xfId="0" applyFont="1" applyBorder="1" applyAlignment="1">
      <alignment horizontal="center" vertical="center"/>
    </xf>
    <xf numFmtId="0" fontId="33" fillId="0" borderId="6" xfId="0" applyFont="1" applyBorder="1" applyAlignment="1">
      <alignment wrapText="1"/>
    </xf>
    <xf numFmtId="9" fontId="33" fillId="0" borderId="6" xfId="0" applyNumberFormat="1" applyFont="1" applyBorder="1" applyAlignment="1">
      <alignment horizontal="center" vertical="center"/>
    </xf>
    <xf numFmtId="0" fontId="33" fillId="0" borderId="6" xfId="0" applyFont="1" applyBorder="1" applyAlignment="1">
      <alignment vertical="center" wrapText="1"/>
    </xf>
    <xf numFmtId="0" fontId="33" fillId="0" borderId="6" xfId="0" applyFont="1" applyBorder="1" applyAlignment="1">
      <alignment horizontal="center"/>
    </xf>
    <xf numFmtId="9" fontId="33" fillId="0" borderId="6" xfId="0" applyNumberFormat="1" applyFont="1" applyBorder="1" applyAlignment="1">
      <alignment horizontal="center"/>
    </xf>
    <xf numFmtId="0" fontId="3" fillId="0" borderId="75" xfId="0" applyFont="1" applyBorder="1"/>
    <xf numFmtId="0" fontId="3" fillId="0" borderId="75" xfId="0" applyFont="1" applyBorder="1" applyAlignment="1">
      <alignment horizontal="center" vertical="top"/>
    </xf>
    <xf numFmtId="0" fontId="5" fillId="0" borderId="75" xfId="0" applyFont="1" applyBorder="1" applyAlignment="1">
      <alignment horizontal="left" vertical="center"/>
    </xf>
    <xf numFmtId="0" fontId="0" fillId="0" borderId="75" xfId="0" applyBorder="1" applyAlignment="1">
      <alignment horizontal="left" vertical="center"/>
    </xf>
    <xf numFmtId="0" fontId="12" fillId="0" borderId="75" xfId="0" applyFont="1" applyBorder="1" applyAlignment="1">
      <alignment horizontal="center"/>
    </xf>
    <xf numFmtId="165" fontId="5" fillId="0" borderId="75" xfId="0" applyNumberFormat="1" applyFont="1" applyBorder="1" applyAlignment="1">
      <alignment horizontal="left" vertical="center"/>
    </xf>
    <xf numFmtId="0" fontId="3" fillId="0" borderId="75" xfId="0" applyFont="1" applyBorder="1" applyAlignment="1">
      <alignment horizontal="center" vertical="top" wrapText="1"/>
    </xf>
    <xf numFmtId="0" fontId="11" fillId="0" borderId="75" xfId="0" applyFont="1" applyBorder="1"/>
    <xf numFmtId="0" fontId="26" fillId="0" borderId="75" xfId="0" applyFont="1" applyBorder="1"/>
    <xf numFmtId="49" fontId="26" fillId="0" borderId="75" xfId="0" applyNumberFormat="1" applyFont="1" applyBorder="1" applyAlignment="1">
      <alignment horizontal="center"/>
    </xf>
    <xf numFmtId="2" fontId="10" fillId="0" borderId="75" xfId="0" applyNumberFormat="1" applyFont="1" applyBorder="1" applyProtection="1">
      <protection locked="0"/>
    </xf>
    <xf numFmtId="2" fontId="3" fillId="0" borderId="75" xfId="0" applyNumberFormat="1" applyFont="1" applyBorder="1"/>
    <xf numFmtId="2" fontId="10" fillId="0" borderId="75" xfId="0" applyNumberFormat="1" applyFont="1" applyBorder="1" applyAlignment="1" applyProtection="1">
      <alignment vertical="top"/>
      <protection locked="0"/>
    </xf>
    <xf numFmtId="0" fontId="3" fillId="0" borderId="75" xfId="0" applyFont="1" applyBorder="1" applyAlignment="1">
      <alignment vertical="top"/>
    </xf>
    <xf numFmtId="0" fontId="13" fillId="0" borderId="75" xfId="0" applyFont="1" applyBorder="1"/>
    <xf numFmtId="2" fontId="27" fillId="0" borderId="75" xfId="0" applyNumberFormat="1" applyFont="1" applyBorder="1" applyProtection="1">
      <protection locked="0"/>
    </xf>
    <xf numFmtId="1" fontId="3" fillId="0" borderId="75" xfId="0" applyNumberFormat="1" applyFont="1" applyBorder="1"/>
    <xf numFmtId="49" fontId="3" fillId="0" borderId="75" xfId="0" applyNumberFormat="1" applyFont="1" applyBorder="1" applyAlignment="1" applyProtection="1">
      <alignment horizontal="center"/>
      <protection locked="0"/>
    </xf>
    <xf numFmtId="0" fontId="3" fillId="0" borderId="75" xfId="0" applyFont="1" applyBorder="1" applyAlignment="1">
      <alignment horizontal="right"/>
    </xf>
    <xf numFmtId="0" fontId="10" fillId="0" borderId="75" xfId="0" applyFont="1" applyBorder="1"/>
    <xf numFmtId="49" fontId="10" fillId="0" borderId="75" xfId="0" applyNumberFormat="1" applyFont="1" applyBorder="1" applyAlignment="1">
      <alignment horizontal="center"/>
    </xf>
    <xf numFmtId="49" fontId="10" fillId="0" borderId="75" xfId="0" applyNumberFormat="1" applyFont="1" applyBorder="1" applyAlignment="1" applyProtection="1">
      <alignment horizontal="center"/>
      <protection locked="0"/>
    </xf>
    <xf numFmtId="1" fontId="3" fillId="0" borderId="75" xfId="0" applyNumberFormat="1" applyFont="1" applyBorder="1" applyAlignment="1">
      <alignment horizontal="right"/>
    </xf>
    <xf numFmtId="0" fontId="40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37" xfId="0" applyFont="1" applyBorder="1" applyAlignment="1">
      <alignment horizontal="center" vertical="center" wrapText="1"/>
    </xf>
    <xf numFmtId="9" fontId="36" fillId="0" borderId="0" xfId="0" applyNumberFormat="1" applyFont="1" applyAlignment="1">
      <alignment vertical="center" wrapText="1"/>
    </xf>
    <xf numFmtId="167" fontId="36" fillId="0" borderId="0" xfId="0" applyNumberFormat="1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left" vertical="center"/>
    </xf>
    <xf numFmtId="0" fontId="0" fillId="0" borderId="76" xfId="0" applyBorder="1"/>
    <xf numFmtId="0" fontId="0" fillId="0" borderId="76" xfId="0" applyBorder="1" applyAlignment="1">
      <alignment wrapText="1"/>
    </xf>
    <xf numFmtId="1" fontId="0" fillId="0" borderId="76" xfId="0" applyNumberFormat="1" applyBorder="1"/>
    <xf numFmtId="9" fontId="0" fillId="0" borderId="76" xfId="0" applyNumberFormat="1" applyBorder="1"/>
    <xf numFmtId="0" fontId="0" fillId="0" borderId="77" xfId="0" applyBorder="1"/>
    <xf numFmtId="1" fontId="0" fillId="0" borderId="77" xfId="0" applyNumberFormat="1" applyBorder="1"/>
    <xf numFmtId="9" fontId="0" fillId="0" borderId="77" xfId="0" applyNumberFormat="1" applyBorder="1"/>
    <xf numFmtId="0" fontId="2" fillId="0" borderId="76" xfId="0" applyFont="1" applyBorder="1"/>
    <xf numFmtId="167" fontId="0" fillId="0" borderId="76" xfId="0" applyNumberFormat="1" applyBorder="1"/>
    <xf numFmtId="167" fontId="0" fillId="0" borderId="77" xfId="0" applyNumberFormat="1" applyBorder="1"/>
    <xf numFmtId="0" fontId="36" fillId="0" borderId="78" xfId="0" applyFont="1" applyBorder="1" applyAlignment="1">
      <alignment horizontal="center" vertical="center" wrapText="1"/>
    </xf>
    <xf numFmtId="0" fontId="36" fillId="0" borderId="78" xfId="0" applyFont="1" applyBorder="1" applyAlignment="1">
      <alignment horizontal="right" wrapText="1"/>
    </xf>
    <xf numFmtId="0" fontId="36" fillId="0" borderId="78" xfId="0" applyFont="1" applyBorder="1" applyAlignment="1">
      <alignment vertical="center" wrapText="1"/>
    </xf>
    <xf numFmtId="167" fontId="36" fillId="0" borderId="78" xfId="0" applyNumberFormat="1" applyFont="1" applyBorder="1" applyAlignment="1">
      <alignment vertical="center" wrapText="1"/>
    </xf>
    <xf numFmtId="9" fontId="36" fillId="0" borderId="78" xfId="0" applyNumberFormat="1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79" xfId="0" applyFont="1" applyBorder="1" applyAlignment="1">
      <alignment vertical="center" wrapText="1"/>
    </xf>
    <xf numFmtId="0" fontId="0" fillId="0" borderId="79" xfId="0" applyBorder="1"/>
    <xf numFmtId="0" fontId="42" fillId="0" borderId="0" xfId="0" applyFont="1" applyAlignment="1">
      <alignment wrapText="1"/>
    </xf>
    <xf numFmtId="0" fontId="43" fillId="0" borderId="0" xfId="0" applyFont="1"/>
    <xf numFmtId="0" fontId="44" fillId="0" borderId="0" xfId="0" applyFont="1" applyAlignment="1">
      <alignment wrapText="1"/>
    </xf>
    <xf numFmtId="9" fontId="44" fillId="0" borderId="0" xfId="0" applyNumberFormat="1" applyFont="1" applyAlignment="1">
      <alignment wrapText="1"/>
    </xf>
    <xf numFmtId="3" fontId="44" fillId="0" borderId="0" xfId="0" applyNumberFormat="1" applyFont="1" applyAlignment="1">
      <alignment wrapText="1"/>
    </xf>
    <xf numFmtId="0" fontId="44" fillId="0" borderId="17" xfId="0" applyFont="1" applyBorder="1" applyAlignment="1">
      <alignment wrapText="1"/>
    </xf>
    <xf numFmtId="3" fontId="44" fillId="0" borderId="17" xfId="0" applyNumberFormat="1" applyFont="1" applyBorder="1" applyAlignment="1">
      <alignment wrapText="1"/>
    </xf>
    <xf numFmtId="9" fontId="44" fillId="0" borderId="17" xfId="0" applyNumberFormat="1" applyFont="1" applyBorder="1" applyAlignment="1">
      <alignment wrapText="1"/>
    </xf>
    <xf numFmtId="0" fontId="43" fillId="0" borderId="16" xfId="0" applyFont="1" applyBorder="1"/>
    <xf numFmtId="0" fontId="44" fillId="0" borderId="0" xfId="0" applyFont="1"/>
    <xf numFmtId="0" fontId="43" fillId="0" borderId="76" xfId="0" applyFont="1" applyBorder="1"/>
    <xf numFmtId="0" fontId="43" fillId="0" borderId="80" xfId="0" applyFont="1" applyBorder="1" applyAlignment="1">
      <alignment wrapText="1"/>
    </xf>
    <xf numFmtId="0" fontId="43" fillId="0" borderId="81" xfId="0" applyFont="1" applyBorder="1" applyAlignment="1">
      <alignment wrapText="1"/>
    </xf>
    <xf numFmtId="0" fontId="43" fillId="0" borderId="6" xfId="0" applyFont="1" applyBorder="1" applyAlignment="1">
      <alignment wrapText="1"/>
    </xf>
    <xf numFmtId="0" fontId="43" fillId="0" borderId="82" xfId="0" applyFont="1" applyBorder="1"/>
    <xf numFmtId="0" fontId="43" fillId="0" borderId="83" xfId="0" applyFont="1" applyBorder="1"/>
    <xf numFmtId="9" fontId="43" fillId="0" borderId="83" xfId="0" applyNumberFormat="1" applyFont="1" applyBorder="1"/>
    <xf numFmtId="0" fontId="43" fillId="0" borderId="78" xfId="0" applyFont="1" applyBorder="1"/>
    <xf numFmtId="0" fontId="43" fillId="0" borderId="84" xfId="0" applyFont="1" applyBorder="1"/>
    <xf numFmtId="0" fontId="43" fillId="0" borderId="85" xfId="0" applyFont="1" applyBorder="1"/>
    <xf numFmtId="0" fontId="43" fillId="0" borderId="86" xfId="0" applyFont="1" applyBorder="1"/>
    <xf numFmtId="0" fontId="43" fillId="0" borderId="80" xfId="0" applyFont="1" applyBorder="1"/>
    <xf numFmtId="0" fontId="43" fillId="0" borderId="4" xfId="0" applyFont="1" applyBorder="1"/>
    <xf numFmtId="0" fontId="45" fillId="0" borderId="76" xfId="0" applyFont="1" applyBorder="1"/>
    <xf numFmtId="0" fontId="45" fillId="0" borderId="82" xfId="0" applyFont="1" applyBorder="1"/>
    <xf numFmtId="0" fontId="43" fillId="0" borderId="82" xfId="0" applyFont="1" applyBorder="1" applyAlignment="1">
      <alignment wrapText="1"/>
    </xf>
    <xf numFmtId="0" fontId="33" fillId="0" borderId="76" xfId="0" applyFont="1" applyBorder="1"/>
    <xf numFmtId="9" fontId="33" fillId="0" borderId="76" xfId="0" applyNumberFormat="1" applyFont="1" applyBorder="1"/>
    <xf numFmtId="0" fontId="33" fillId="0" borderId="76" xfId="0" applyFont="1" applyBorder="1" applyAlignment="1">
      <alignment wrapText="1"/>
    </xf>
    <xf numFmtId="0" fontId="33" fillId="0" borderId="2" xfId="0" applyFont="1" applyBorder="1"/>
    <xf numFmtId="0" fontId="33" fillId="0" borderId="2" xfId="0" applyFont="1" applyBorder="1" applyAlignment="1">
      <alignment horizontal="center"/>
    </xf>
    <xf numFmtId="0" fontId="33" fillId="0" borderId="2" xfId="0" applyFont="1" applyBorder="1" applyAlignment="1">
      <alignment wrapText="1"/>
    </xf>
    <xf numFmtId="0" fontId="46" fillId="0" borderId="86" xfId="0" applyFont="1" applyBorder="1"/>
    <xf numFmtId="0" fontId="43" fillId="0" borderId="87" xfId="0" applyFont="1" applyBorder="1"/>
    <xf numFmtId="0" fontId="46" fillId="0" borderId="76" xfId="0" applyFont="1" applyBorder="1"/>
    <xf numFmtId="0" fontId="46" fillId="0" borderId="83" xfId="0" applyFont="1" applyBorder="1"/>
    <xf numFmtId="0" fontId="47" fillId="0" borderId="82" xfId="0" applyFont="1" applyBorder="1" applyAlignment="1">
      <alignment wrapText="1"/>
    </xf>
    <xf numFmtId="0" fontId="13" fillId="0" borderId="76" xfId="0" applyFont="1" applyBorder="1"/>
    <xf numFmtId="0" fontId="11" fillId="0" borderId="76" xfId="0" applyFont="1" applyBorder="1"/>
    <xf numFmtId="0" fontId="5" fillId="0" borderId="76" xfId="0" applyFont="1" applyBorder="1"/>
    <xf numFmtId="0" fontId="3" fillId="0" borderId="76" xfId="0" applyFont="1" applyBorder="1"/>
    <xf numFmtId="43" fontId="3" fillId="0" borderId="76" xfId="0" applyNumberFormat="1" applyFont="1" applyBorder="1"/>
    <xf numFmtId="44" fontId="5" fillId="0" borderId="76" xfId="0" applyNumberFormat="1" applyFont="1" applyBorder="1"/>
    <xf numFmtId="0" fontId="5" fillId="0" borderId="2" xfId="0" applyFont="1" applyBorder="1"/>
    <xf numFmtId="0" fontId="3" fillId="0" borderId="0" xfId="0" applyFont="1" applyAlignment="1">
      <alignment vertical="top" wrapText="1"/>
    </xf>
    <xf numFmtId="0" fontId="3" fillId="0" borderId="27" xfId="0" applyFont="1" applyBorder="1" applyAlignment="1">
      <alignment horizontal="center" vertical="center" wrapText="1"/>
    </xf>
    <xf numFmtId="0" fontId="55" fillId="0" borderId="0" xfId="0" applyFont="1"/>
    <xf numFmtId="0" fontId="56" fillId="0" borderId="0" xfId="0" applyFont="1"/>
    <xf numFmtId="0" fontId="25" fillId="0" borderId="0" xfId="0" applyFont="1"/>
    <xf numFmtId="0" fontId="25" fillId="0" borderId="0" xfId="0" applyFont="1" applyAlignment="1">
      <alignment horizontal="center"/>
    </xf>
    <xf numFmtId="0" fontId="33" fillId="0" borderId="0" xfId="0" applyFont="1"/>
    <xf numFmtId="0" fontId="55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3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4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54" fillId="0" borderId="0" xfId="0" applyFont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54" fillId="0" borderId="5" xfId="0" applyFont="1" applyBorder="1" applyAlignment="1">
      <alignment horizontal="center" vertical="center"/>
    </xf>
    <xf numFmtId="1" fontId="54" fillId="0" borderId="10" xfId="0" applyNumberFormat="1" applyFont="1" applyBorder="1" applyAlignment="1">
      <alignment horizontal="center" vertical="center"/>
    </xf>
    <xf numFmtId="0" fontId="54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vertical="center"/>
    </xf>
    <xf numFmtId="0" fontId="18" fillId="0" borderId="31" xfId="0" applyFont="1" applyBorder="1" applyAlignment="1">
      <alignment horizontal="center" vertical="center"/>
    </xf>
    <xf numFmtId="1" fontId="54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5" borderId="5" xfId="0" applyFont="1" applyFill="1" applyBorder="1" applyAlignment="1">
      <alignment horizontal="center"/>
    </xf>
    <xf numFmtId="0" fontId="8" fillId="5" borderId="10" xfId="0" applyFont="1" applyFill="1" applyBorder="1" applyAlignment="1">
      <alignment horizontal="center"/>
    </xf>
    <xf numFmtId="0" fontId="8" fillId="5" borderId="31" xfId="0" applyFont="1" applyFill="1" applyBorder="1" applyAlignment="1">
      <alignment horizontal="center"/>
    </xf>
    <xf numFmtId="0" fontId="57" fillId="5" borderId="6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" fontId="16" fillId="0" borderId="10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49" fontId="16" fillId="0" borderId="10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14" fillId="0" borderId="0" xfId="5"/>
    <xf numFmtId="0" fontId="5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4" fillId="9" borderId="5" xfId="0" applyFont="1" applyFill="1" applyBorder="1" applyAlignment="1">
      <alignment horizontal="center" vertical="center"/>
    </xf>
    <xf numFmtId="1" fontId="54" fillId="9" borderId="10" xfId="0" applyNumberFormat="1" applyFont="1" applyFill="1" applyBorder="1" applyAlignment="1">
      <alignment horizontal="center" vertical="center"/>
    </xf>
    <xf numFmtId="0" fontId="54" fillId="9" borderId="10" xfId="0" applyFont="1" applyFill="1" applyBorder="1" applyAlignment="1">
      <alignment horizontal="center" vertical="center"/>
    </xf>
    <xf numFmtId="0" fontId="18" fillId="9" borderId="10" xfId="0" applyFont="1" applyFill="1" applyBorder="1" applyAlignment="1">
      <alignment vertical="center"/>
    </xf>
    <xf numFmtId="0" fontId="18" fillId="9" borderId="3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44" fontId="16" fillId="0" borderId="3" xfId="0" applyNumberFormat="1" applyFont="1" applyBorder="1"/>
    <xf numFmtId="44" fontId="16" fillId="0" borderId="0" xfId="0" applyNumberFormat="1" applyFont="1"/>
    <xf numFmtId="44" fontId="8" fillId="0" borderId="3" xfId="0" applyNumberFormat="1" applyFont="1" applyBorder="1"/>
    <xf numFmtId="44" fontId="16" fillId="0" borderId="3" xfId="3" applyFont="1" applyBorder="1"/>
    <xf numFmtId="44" fontId="8" fillId="0" borderId="0" xfId="0" applyNumberFormat="1" applyFont="1"/>
    <xf numFmtId="0" fontId="23" fillId="5" borderId="2" xfId="0" applyFont="1" applyFill="1" applyBorder="1" applyAlignment="1">
      <alignment horizontal="center" vertical="center"/>
    </xf>
    <xf numFmtId="0" fontId="23" fillId="5" borderId="6" xfId="0" applyFont="1" applyFill="1" applyBorder="1" applyAlignment="1">
      <alignment horizontal="center"/>
    </xf>
    <xf numFmtId="0" fontId="23" fillId="0" borderId="3" xfId="0" applyFont="1" applyBorder="1" applyAlignment="1">
      <alignment horizontal="center" vertical="center"/>
    </xf>
    <xf numFmtId="9" fontId="16" fillId="5" borderId="3" xfId="4" applyFont="1" applyFill="1" applyBorder="1" applyAlignment="1">
      <alignment horizontal="center"/>
    </xf>
    <xf numFmtId="9" fontId="16" fillId="5" borderId="4" xfId="4" applyFont="1" applyFill="1" applyBorder="1" applyAlignment="1">
      <alignment horizontal="center"/>
    </xf>
    <xf numFmtId="44" fontId="16" fillId="0" borderId="4" xfId="0" applyNumberFormat="1" applyFont="1" applyBorder="1"/>
    <xf numFmtId="44" fontId="8" fillId="5" borderId="4" xfId="3" applyFont="1" applyFill="1" applyBorder="1"/>
    <xf numFmtId="44" fontId="16" fillId="0" borderId="0" xfId="4" applyNumberFormat="1" applyFont="1"/>
    <xf numFmtId="44" fontId="8" fillId="0" borderId="0" xfId="3" applyFont="1"/>
    <xf numFmtId="0" fontId="17" fillId="5" borderId="6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left"/>
    </xf>
    <xf numFmtId="0" fontId="65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3" fillId="0" borderId="0" xfId="0" applyFont="1" applyAlignment="1">
      <alignment horizontal="center" vertical="center" wrapText="1"/>
    </xf>
    <xf numFmtId="0" fontId="72" fillId="0" borderId="0" xfId="0" applyFont="1" applyAlignment="1">
      <alignment vertical="center" wrapText="1"/>
    </xf>
    <xf numFmtId="0" fontId="72" fillId="0" borderId="0" xfId="0" applyFont="1" applyAlignment="1">
      <alignment horizontal="center" vertical="center" wrapText="1"/>
    </xf>
    <xf numFmtId="0" fontId="71" fillId="11" borderId="0" xfId="0" applyFont="1" applyFill="1" applyAlignment="1">
      <alignment vertical="center" wrapText="1"/>
    </xf>
    <xf numFmtId="0" fontId="70" fillId="0" borderId="44" xfId="0" applyFont="1" applyBorder="1" applyAlignment="1">
      <alignment vertical="center" wrapText="1"/>
    </xf>
    <xf numFmtId="0" fontId="70" fillId="0" borderId="104" xfId="0" applyFont="1" applyBorder="1" applyAlignment="1">
      <alignment vertical="center" wrapText="1"/>
    </xf>
    <xf numFmtId="0" fontId="69" fillId="0" borderId="103" xfId="0" applyFont="1" applyBorder="1" applyAlignment="1">
      <alignment vertical="center" wrapText="1"/>
    </xf>
    <xf numFmtId="0" fontId="16" fillId="0" borderId="98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6" fillId="0" borderId="97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7" fillId="0" borderId="11" xfId="0" applyFont="1" applyBorder="1" applyAlignment="1">
      <alignment horizontal="center" vertical="center" wrapText="1"/>
    </xf>
    <xf numFmtId="0" fontId="66" fillId="0" borderId="98" xfId="0" applyFont="1" applyBorder="1" applyAlignment="1">
      <alignment vertical="center" wrapText="1"/>
    </xf>
    <xf numFmtId="0" fontId="70" fillId="0" borderId="98" xfId="0" applyFont="1" applyBorder="1" applyAlignment="1">
      <alignment vertical="center" wrapText="1"/>
    </xf>
    <xf numFmtId="0" fontId="70" fillId="0" borderId="11" xfId="0" applyFont="1" applyBorder="1" applyAlignment="1">
      <alignment horizontal="center" vertical="center" wrapText="1"/>
    </xf>
    <xf numFmtId="0" fontId="0" fillId="0" borderId="6" xfId="0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9" fillId="0" borderId="11" xfId="0" applyFont="1" applyBorder="1" applyAlignment="1">
      <alignment vertical="center" wrapText="1"/>
    </xf>
    <xf numFmtId="0" fontId="75" fillId="0" borderId="0" xfId="0" applyFont="1" applyAlignment="1">
      <alignment vertical="center" wrapText="1"/>
    </xf>
    <xf numFmtId="0" fontId="76" fillId="8" borderId="11" xfId="0" applyFont="1" applyFill="1" applyBorder="1" applyAlignment="1">
      <alignment horizontal="right" vertical="center" wrapText="1"/>
    </xf>
    <xf numFmtId="0" fontId="76" fillId="8" borderId="96" xfId="0" applyFont="1" applyFill="1" applyBorder="1" applyAlignment="1">
      <alignment horizontal="right" vertical="center" wrapText="1"/>
    </xf>
    <xf numFmtId="0" fontId="0" fillId="0" borderId="6" xfId="0" applyBorder="1" applyAlignment="1">
      <alignment horizontal="center" vertical="center"/>
    </xf>
    <xf numFmtId="0" fontId="14" fillId="0" borderId="6" xfId="5" applyFill="1" applyBorder="1"/>
    <xf numFmtId="0" fontId="5" fillId="8" borderId="11" xfId="0" applyFont="1" applyFill="1" applyBorder="1" applyAlignment="1">
      <alignment horizontal="right" vertical="center"/>
    </xf>
    <xf numFmtId="0" fontId="78" fillId="0" borderId="0" xfId="0" applyFont="1"/>
    <xf numFmtId="0" fontId="3" fillId="6" borderId="6" xfId="0" applyFon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6" xfId="0" applyFill="1" applyBorder="1"/>
    <xf numFmtId="0" fontId="0" fillId="6" borderId="31" xfId="0" applyFill="1" applyBorder="1" applyAlignment="1">
      <alignment horizontal="center"/>
    </xf>
    <xf numFmtId="0" fontId="37" fillId="5" borderId="20" xfId="0" applyFont="1" applyFill="1" applyBorder="1" applyAlignment="1">
      <alignment horizontal="center" textRotation="90"/>
    </xf>
    <xf numFmtId="0" fontId="3" fillId="5" borderId="91" xfId="0" applyFont="1" applyFill="1" applyBorder="1" applyAlignment="1">
      <alignment horizontal="center" textRotation="90"/>
    </xf>
    <xf numFmtId="0" fontId="3" fillId="5" borderId="6" xfId="0" applyFont="1" applyFill="1" applyBorder="1" applyAlignment="1">
      <alignment horizontal="center" textRotation="90"/>
    </xf>
    <xf numFmtId="0" fontId="37" fillId="6" borderId="92" xfId="0" applyFont="1" applyFill="1" applyBorder="1" applyAlignment="1">
      <alignment horizontal="center" textRotation="90"/>
    </xf>
    <xf numFmtId="0" fontId="3" fillId="6" borderId="91" xfId="0" applyFont="1" applyFill="1" applyBorder="1" applyAlignment="1">
      <alignment horizontal="center" textRotation="90"/>
    </xf>
    <xf numFmtId="0" fontId="3" fillId="6" borderId="92" xfId="0" applyFont="1" applyFill="1" applyBorder="1" applyAlignment="1">
      <alignment horizontal="center" textRotation="90"/>
    </xf>
    <xf numFmtId="44" fontId="8" fillId="5" borderId="6" xfId="0" applyNumberFormat="1" applyFont="1" applyFill="1" applyBorder="1" applyAlignment="1">
      <alignment horizontal="center"/>
    </xf>
    <xf numFmtId="44" fontId="8" fillId="5" borderId="6" xfId="0" applyNumberFormat="1" applyFont="1" applyFill="1" applyBorder="1"/>
    <xf numFmtId="0" fontId="8" fillId="5" borderId="6" xfId="0" applyFont="1" applyFill="1" applyBorder="1" applyAlignment="1">
      <alignment horizontal="center"/>
    </xf>
    <xf numFmtId="0" fontId="23" fillId="5" borderId="6" xfId="0" applyFont="1" applyFill="1" applyBorder="1"/>
    <xf numFmtId="0" fontId="8" fillId="5" borderId="6" xfId="0" applyFont="1" applyFill="1" applyBorder="1"/>
    <xf numFmtId="0" fontId="3" fillId="0" borderId="21" xfId="0" applyFont="1" applyBorder="1" applyAlignment="1">
      <alignment vertical="center"/>
    </xf>
    <xf numFmtId="49" fontId="3" fillId="0" borderId="0" xfId="0" applyNumberFormat="1" applyFont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6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0" xfId="0" applyFont="1" applyAlignment="1">
      <alignment horizontal="center" wrapText="1"/>
    </xf>
    <xf numFmtId="0" fontId="79" fillId="0" borderId="14" xfId="0" applyFont="1" applyBorder="1" applyAlignment="1">
      <alignment horizontal="center"/>
    </xf>
    <xf numFmtId="10" fontId="16" fillId="0" borderId="0" xfId="4" applyNumberFormat="1" applyFont="1"/>
    <xf numFmtId="0" fontId="5" fillId="0" borderId="45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09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96" xfId="0" applyFont="1" applyBorder="1" applyAlignment="1">
      <alignment horizontal="center" vertical="center"/>
    </xf>
    <xf numFmtId="0" fontId="3" fillId="0" borderId="97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98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10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111" xfId="0" applyFont="1" applyBorder="1" applyAlignment="1">
      <alignment horizontal="center" vertical="center" wrapText="1"/>
    </xf>
    <xf numFmtId="0" fontId="5" fillId="0" borderId="112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81" fillId="4" borderId="6" xfId="0" applyFont="1" applyFill="1" applyBorder="1" applyAlignment="1">
      <alignment horizontal="right"/>
    </xf>
    <xf numFmtId="0" fontId="81" fillId="6" borderId="6" xfId="0" applyFont="1" applyFill="1" applyBorder="1"/>
    <xf numFmtId="0" fontId="8" fillId="6" borderId="6" xfId="0" applyFont="1" applyFill="1" applyBorder="1"/>
    <xf numFmtId="168" fontId="16" fillId="0" borderId="6" xfId="0" applyNumberFormat="1" applyFont="1" applyBorder="1"/>
    <xf numFmtId="168" fontId="16" fillId="4" borderId="6" xfId="0" applyNumberFormat="1" applyFont="1" applyFill="1" applyBorder="1"/>
    <xf numFmtId="168" fontId="82" fillId="0" borderId="6" xfId="0" applyNumberFormat="1" applyFont="1" applyBorder="1"/>
    <xf numFmtId="168" fontId="82" fillId="0" borderId="6" xfId="6" applyNumberFormat="1" applyFont="1" applyBorder="1"/>
    <xf numFmtId="168" fontId="16" fillId="6" borderId="6" xfId="0" applyNumberFormat="1" applyFont="1" applyFill="1" applyBorder="1"/>
    <xf numFmtId="168" fontId="8" fillId="6" borderId="6" xfId="0" applyNumberFormat="1" applyFont="1" applyFill="1" applyBorder="1"/>
    <xf numFmtId="49" fontId="16" fillId="0" borderId="0" xfId="0" applyNumberFormat="1" applyFont="1" applyAlignment="1">
      <alignment horizontal="right"/>
    </xf>
    <xf numFmtId="49" fontId="3" fillId="0" borderId="0" xfId="0" applyNumberFormat="1" applyFont="1"/>
    <xf numFmtId="49" fontId="3" fillId="13" borderId="38" xfId="0" applyNumberFormat="1" applyFont="1" applyFill="1" applyBorder="1" applyAlignment="1">
      <alignment horizontal="right"/>
    </xf>
    <xf numFmtId="0" fontId="3" fillId="13" borderId="39" xfId="0" applyFont="1" applyFill="1" applyBorder="1"/>
    <xf numFmtId="0" fontId="3" fillId="13" borderId="40" xfId="0" applyFont="1" applyFill="1" applyBorder="1"/>
    <xf numFmtId="49" fontId="3" fillId="13" borderId="12" xfId="0" applyNumberFormat="1" applyFont="1" applyFill="1" applyBorder="1" applyAlignment="1">
      <alignment horizontal="right"/>
    </xf>
    <xf numFmtId="0" fontId="3" fillId="13" borderId="0" xfId="0" applyFont="1" applyFill="1"/>
    <xf numFmtId="0" fontId="3" fillId="13" borderId="41" xfId="0" applyFont="1" applyFill="1" applyBorder="1"/>
    <xf numFmtId="49" fontId="3" fillId="13" borderId="13" xfId="0" applyNumberFormat="1" applyFont="1" applyFill="1" applyBorder="1" applyAlignment="1">
      <alignment horizontal="right"/>
    </xf>
    <xf numFmtId="0" fontId="3" fillId="13" borderId="37" xfId="0" applyFont="1" applyFill="1" applyBorder="1"/>
    <xf numFmtId="0" fontId="3" fillId="13" borderId="44" xfId="0" applyFont="1" applyFill="1" applyBorder="1"/>
    <xf numFmtId="170" fontId="0" fillId="0" borderId="0" xfId="0" applyNumberFormat="1"/>
    <xf numFmtId="170" fontId="8" fillId="0" borderId="6" xfId="0" applyNumberFormat="1" applyFont="1" applyBorder="1" applyAlignment="1">
      <alignment horizontal="center" vertical="center"/>
    </xf>
    <xf numFmtId="170" fontId="8" fillId="0" borderId="73" xfId="0" applyNumberFormat="1" applyFont="1" applyBorder="1" applyAlignment="1">
      <alignment horizontal="center" vertical="center"/>
    </xf>
    <xf numFmtId="170" fontId="48" fillId="0" borderId="0" xfId="0" applyNumberFormat="1" applyFont="1" applyAlignment="1">
      <alignment horizontal="center" vertical="center"/>
    </xf>
    <xf numFmtId="170" fontId="49" fillId="0" borderId="0" xfId="0" applyNumberFormat="1" applyFont="1" applyAlignment="1">
      <alignment horizontal="center" vertical="center"/>
    </xf>
    <xf numFmtId="170" fontId="50" fillId="0" borderId="0" xfId="0" applyNumberFormat="1" applyFont="1" applyAlignment="1">
      <alignment horizontal="center" vertical="center"/>
    </xf>
    <xf numFmtId="170" fontId="51" fillId="0" borderId="88" xfId="0" applyNumberFormat="1" applyFont="1" applyBorder="1" applyAlignment="1">
      <alignment horizontal="center" vertical="center"/>
    </xf>
    <xf numFmtId="170" fontId="51" fillId="0" borderId="89" xfId="0" applyNumberFormat="1" applyFont="1" applyBorder="1" applyAlignment="1">
      <alignment horizontal="center" vertical="center"/>
    </xf>
    <xf numFmtId="170" fontId="50" fillId="0" borderId="2" xfId="0" applyNumberFormat="1" applyFont="1" applyBorder="1" applyAlignment="1">
      <alignment horizontal="center" vertical="center" wrapText="1"/>
    </xf>
    <xf numFmtId="170" fontId="51" fillId="0" borderId="90" xfId="0" applyNumberFormat="1" applyFont="1" applyBorder="1" applyAlignment="1">
      <alignment horizontal="center" vertical="center"/>
    </xf>
    <xf numFmtId="170" fontId="48" fillId="0" borderId="90" xfId="0" applyNumberFormat="1" applyFont="1" applyBorder="1" applyAlignment="1">
      <alignment horizontal="center" vertical="center"/>
    </xf>
    <xf numFmtId="170" fontId="48" fillId="0" borderId="2" xfId="0" applyNumberFormat="1" applyFont="1" applyBorder="1" applyAlignment="1">
      <alignment horizontal="left" vertical="center"/>
    </xf>
    <xf numFmtId="170" fontId="51" fillId="0" borderId="2" xfId="0" applyNumberFormat="1" applyFont="1" applyBorder="1" applyAlignment="1">
      <alignment horizontal="center" vertical="center"/>
    </xf>
    <xf numFmtId="170" fontId="48" fillId="0" borderId="2" xfId="0" applyNumberFormat="1" applyFont="1" applyBorder="1" applyAlignment="1">
      <alignment horizontal="center" vertical="center"/>
    </xf>
    <xf numFmtId="170" fontId="49" fillId="0" borderId="2" xfId="0" applyNumberFormat="1" applyFont="1" applyBorder="1" applyAlignment="1">
      <alignment horizontal="center" vertical="center" wrapText="1"/>
    </xf>
    <xf numFmtId="170" fontId="50" fillId="0" borderId="2" xfId="0" applyNumberFormat="1" applyFont="1" applyBorder="1" applyAlignment="1">
      <alignment horizontal="center" vertical="center"/>
    </xf>
    <xf numFmtId="170" fontId="51" fillId="0" borderId="6" xfId="0" applyNumberFormat="1" applyFont="1" applyBorder="1" applyAlignment="1">
      <alignment vertical="center"/>
    </xf>
    <xf numFmtId="170" fontId="51" fillId="0" borderId="6" xfId="0" applyNumberFormat="1" applyFont="1" applyBorder="1" applyAlignment="1">
      <alignment horizontal="center" vertical="center"/>
    </xf>
    <xf numFmtId="170" fontId="51" fillId="4" borderId="6" xfId="0" applyNumberFormat="1" applyFont="1" applyFill="1" applyBorder="1" applyAlignment="1">
      <alignment horizontal="center" vertical="center"/>
    </xf>
    <xf numFmtId="170" fontId="49" fillId="5" borderId="6" xfId="0" applyNumberFormat="1" applyFont="1" applyFill="1" applyBorder="1" applyAlignment="1">
      <alignment horizontal="center" vertical="center"/>
    </xf>
    <xf numFmtId="170" fontId="50" fillId="0" borderId="6" xfId="0" applyNumberFormat="1" applyFont="1" applyBorder="1" applyAlignment="1">
      <alignment horizontal="center" vertical="center"/>
    </xf>
    <xf numFmtId="170" fontId="52" fillId="0" borderId="6" xfId="0" applyNumberFormat="1" applyFont="1" applyBorder="1" applyAlignment="1">
      <alignment vertical="center"/>
    </xf>
    <xf numFmtId="170" fontId="52" fillId="0" borderId="6" xfId="0" applyNumberFormat="1" applyFont="1" applyBorder="1"/>
    <xf numFmtId="170" fontId="51" fillId="0" borderId="0" xfId="0" applyNumberFormat="1" applyFont="1" applyAlignment="1">
      <alignment vertical="center"/>
    </xf>
    <xf numFmtId="170" fontId="51" fillId="0" borderId="0" xfId="0" applyNumberFormat="1" applyFont="1" applyAlignment="1">
      <alignment horizontal="center" vertical="center"/>
    </xf>
    <xf numFmtId="170" fontId="48" fillId="7" borderId="5" xfId="0" applyNumberFormat="1" applyFont="1" applyFill="1" applyBorder="1" applyAlignment="1">
      <alignment horizontal="center" vertical="center"/>
    </xf>
    <xf numFmtId="170" fontId="51" fillId="7" borderId="31" xfId="0" applyNumberFormat="1" applyFont="1" applyFill="1" applyBorder="1" applyAlignment="1">
      <alignment vertical="center"/>
    </xf>
    <xf numFmtId="170" fontId="0" fillId="6" borderId="31" xfId="0" applyNumberFormat="1" applyFill="1" applyBorder="1"/>
    <xf numFmtId="170" fontId="6" fillId="0" borderId="0" xfId="0" applyNumberFormat="1" applyFont="1" applyAlignment="1">
      <alignment horizontal="left"/>
    </xf>
    <xf numFmtId="8" fontId="16" fillId="12" borderId="6" xfId="0" applyNumberFormat="1" applyFont="1" applyFill="1" applyBorder="1" applyAlignment="1">
      <alignment vertical="center"/>
    </xf>
    <xf numFmtId="0" fontId="16" fillId="12" borderId="6" xfId="0" applyFont="1" applyFill="1" applyBorder="1" applyAlignment="1">
      <alignment horizontal="center" vertical="center"/>
    </xf>
    <xf numFmtId="170" fontId="54" fillId="0" borderId="6" xfId="0" applyNumberFormat="1" applyFont="1" applyBorder="1" applyAlignment="1">
      <alignment horizontal="left" vertical="center"/>
    </xf>
    <xf numFmtId="0" fontId="54" fillId="0" borderId="51" xfId="0" applyFont="1" applyBorder="1" applyAlignment="1">
      <alignment horizontal="center"/>
    </xf>
    <xf numFmtId="0" fontId="54" fillId="0" borderId="50" xfId="0" applyFont="1" applyBorder="1" applyAlignment="1">
      <alignment horizontal="center"/>
    </xf>
    <xf numFmtId="0" fontId="62" fillId="0" borderId="50" xfId="0" applyFont="1" applyBorder="1" applyAlignment="1">
      <alignment horizontal="center"/>
    </xf>
    <xf numFmtId="171" fontId="3" fillId="5" borderId="6" xfId="0" applyNumberFormat="1" applyFont="1" applyFill="1" applyBorder="1" applyAlignment="1">
      <alignment horizontal="center"/>
    </xf>
    <xf numFmtId="171" fontId="3" fillId="5" borderId="5" xfId="0" applyNumberFormat="1" applyFont="1" applyFill="1" applyBorder="1" applyAlignment="1">
      <alignment horizontal="center"/>
    </xf>
    <xf numFmtId="171" fontId="16" fillId="0" borderId="6" xfId="0" applyNumberFormat="1" applyFont="1" applyBorder="1" applyAlignment="1" applyProtection="1">
      <alignment horizontal="center" vertical="center"/>
      <protection locked="0"/>
    </xf>
    <xf numFmtId="171" fontId="16" fillId="5" borderId="6" xfId="0" applyNumberFormat="1" applyFont="1" applyFill="1" applyBorder="1" applyAlignment="1" applyProtection="1">
      <alignment horizontal="center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170" fontId="3" fillId="0" borderId="20" xfId="0" applyNumberFormat="1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1" fontId="3" fillId="0" borderId="6" xfId="0" applyNumberFormat="1" applyFont="1" applyBorder="1" applyAlignment="1" applyProtection="1">
      <alignment horizontal="center" vertical="center"/>
      <protection locked="0"/>
    </xf>
    <xf numFmtId="170" fontId="3" fillId="0" borderId="6" xfId="0" applyNumberFormat="1" applyFont="1" applyBorder="1" applyAlignment="1">
      <alignment horizontal="center" vertical="center"/>
    </xf>
    <xf numFmtId="168" fontId="3" fillId="0" borderId="6" xfId="0" applyNumberFormat="1" applyFont="1" applyBorder="1" applyAlignment="1">
      <alignment vertical="center"/>
    </xf>
    <xf numFmtId="1" fontId="3" fillId="0" borderId="6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center" vertical="center"/>
    </xf>
    <xf numFmtId="168" fontId="28" fillId="0" borderId="6" xfId="0" applyNumberFormat="1" applyFont="1" applyBorder="1" applyAlignment="1">
      <alignment vertical="center"/>
    </xf>
    <xf numFmtId="168" fontId="28" fillId="0" borderId="6" xfId="6" applyNumberFormat="1" applyFont="1" applyBorder="1" applyAlignment="1">
      <alignment vertical="center"/>
    </xf>
    <xf numFmtId="43" fontId="28" fillId="0" borderId="0" xfId="6" applyFont="1" applyBorder="1" applyAlignment="1">
      <alignment vertical="center"/>
    </xf>
    <xf numFmtId="2" fontId="3" fillId="0" borderId="0" xfId="0" applyNumberFormat="1" applyFont="1" applyAlignment="1">
      <alignment vertical="center"/>
    </xf>
    <xf numFmtId="0" fontId="29" fillId="0" borderId="6" xfId="0" applyFont="1" applyBorder="1" applyAlignment="1">
      <alignment vertical="center"/>
    </xf>
    <xf numFmtId="170" fontId="18" fillId="0" borderId="31" xfId="0" applyNumberFormat="1" applyFont="1" applyBorder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0" fillId="0" borderId="44" xfId="0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0" borderId="45" xfId="0" applyFont="1" applyBorder="1" applyAlignment="1">
      <alignment horizontal="center"/>
    </xf>
    <xf numFmtId="49" fontId="23" fillId="0" borderId="105" xfId="0" applyNumberFormat="1" applyFont="1" applyBorder="1" applyAlignment="1">
      <alignment horizontal="center"/>
    </xf>
    <xf numFmtId="49" fontId="23" fillId="0" borderId="95" xfId="0" applyNumberFormat="1" applyFont="1" applyBorder="1" applyAlignment="1">
      <alignment horizontal="center"/>
    </xf>
    <xf numFmtId="168" fontId="3" fillId="0" borderId="0" xfId="0" applyNumberFormat="1" applyFont="1" applyAlignment="1">
      <alignment horizontal="center" vertical="center"/>
    </xf>
    <xf numFmtId="49" fontId="3" fillId="13" borderId="0" xfId="0" applyNumberFormat="1" applyFont="1" applyFill="1" applyAlignment="1">
      <alignment horizontal="right"/>
    </xf>
    <xf numFmtId="0" fontId="14" fillId="0" borderId="6" xfId="5" applyBorder="1" applyAlignment="1">
      <alignment horizontal="left" vertical="center" wrapText="1"/>
    </xf>
    <xf numFmtId="0" fontId="0" fillId="17" borderId="6" xfId="0" applyFill="1" applyBorder="1" applyAlignment="1">
      <alignment horizontal="center"/>
    </xf>
    <xf numFmtId="171" fontId="3" fillId="18" borderId="6" xfId="0" applyNumberFormat="1" applyFont="1" applyFill="1" applyBorder="1" applyAlignment="1">
      <alignment horizontal="center"/>
    </xf>
    <xf numFmtId="171" fontId="3" fillId="18" borderId="5" xfId="0" applyNumberFormat="1" applyFont="1" applyFill="1" applyBorder="1" applyAlignment="1">
      <alignment horizontal="center"/>
    </xf>
    <xf numFmtId="171" fontId="3" fillId="0" borderId="0" xfId="0" applyNumberFormat="1" applyFont="1" applyAlignment="1">
      <alignment horizontal="center"/>
    </xf>
    <xf numFmtId="0" fontId="0" fillId="14" borderId="6" xfId="0" applyFill="1" applyBorder="1" applyAlignment="1">
      <alignment horizontal="center"/>
    </xf>
    <xf numFmtId="171" fontId="25" fillId="16" borderId="6" xfId="0" applyNumberFormat="1" applyFont="1" applyFill="1" applyBorder="1" applyAlignment="1">
      <alignment horizontal="center" vertical="center"/>
    </xf>
    <xf numFmtId="168" fontId="25" fillId="16" borderId="6" xfId="0" applyNumberFormat="1" applyFont="1" applyFill="1" applyBorder="1" applyAlignment="1">
      <alignment horizontal="center" vertical="center"/>
    </xf>
    <xf numFmtId="171" fontId="25" fillId="5" borderId="6" xfId="0" applyNumberFormat="1" applyFont="1" applyFill="1" applyBorder="1" applyAlignment="1">
      <alignment horizontal="center" vertical="center"/>
    </xf>
    <xf numFmtId="0" fontId="25" fillId="16" borderId="6" xfId="0" applyFont="1" applyFill="1" applyBorder="1" applyAlignment="1">
      <alignment horizontal="center" vertical="center"/>
    </xf>
    <xf numFmtId="171" fontId="3" fillId="15" borderId="6" xfId="0" applyNumberFormat="1" applyFont="1" applyFill="1" applyBorder="1" applyAlignment="1">
      <alignment horizontal="center"/>
    </xf>
    <xf numFmtId="0" fontId="14" fillId="0" borderId="6" xfId="5" applyBorder="1"/>
    <xf numFmtId="0" fontId="62" fillId="0" borderId="12" xfId="0" applyFont="1" applyBorder="1" applyAlignment="1">
      <alignment horizontal="center" vertical="center"/>
    </xf>
    <xf numFmtId="0" fontId="86" fillId="0" borderId="11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/>
    </xf>
    <xf numFmtId="170" fontId="25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170" fontId="57" fillId="0" borderId="49" xfId="0" applyNumberFormat="1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170" fontId="53" fillId="0" borderId="4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70" fontId="55" fillId="0" borderId="17" xfId="0" applyNumberFormat="1" applyFont="1" applyBorder="1" applyAlignment="1">
      <alignment horizontal="center" vertical="center"/>
    </xf>
    <xf numFmtId="1" fontId="55" fillId="0" borderId="16" xfId="0" applyNumberFormat="1" applyFont="1" applyBorder="1" applyAlignment="1">
      <alignment horizontal="center" vertical="center"/>
    </xf>
    <xf numFmtId="0" fontId="6" fillId="0" borderId="106" xfId="0" applyFont="1" applyBorder="1" applyAlignment="1">
      <alignment horizontal="center"/>
    </xf>
    <xf numFmtId="170" fontId="25" fillId="0" borderId="113" xfId="0" applyNumberFormat="1" applyFont="1" applyBorder="1" applyAlignment="1">
      <alignment horizontal="center"/>
    </xf>
    <xf numFmtId="0" fontId="6" fillId="0" borderId="114" xfId="0" applyFont="1" applyBorder="1" applyAlignment="1">
      <alignment horizontal="center"/>
    </xf>
    <xf numFmtId="170" fontId="25" fillId="0" borderId="41" xfId="0" applyNumberFormat="1" applyFont="1" applyBorder="1" applyAlignment="1">
      <alignment horizontal="center"/>
    </xf>
    <xf numFmtId="170" fontId="53" fillId="0" borderId="115" xfId="0" applyNumberFormat="1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170" fontId="3" fillId="0" borderId="41" xfId="0" applyNumberFormat="1" applyFont="1" applyBorder="1" applyAlignment="1">
      <alignment horizontal="center"/>
    </xf>
    <xf numFmtId="170" fontId="25" fillId="0" borderId="115" xfId="0" applyNumberFormat="1" applyFont="1" applyBorder="1" applyAlignment="1">
      <alignment horizontal="center"/>
    </xf>
    <xf numFmtId="0" fontId="6" fillId="0" borderId="107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0" fontId="18" fillId="0" borderId="37" xfId="0" applyFont="1" applyBorder="1" applyAlignment="1">
      <alignment vertical="center"/>
    </xf>
    <xf numFmtId="0" fontId="54" fillId="0" borderId="37" xfId="0" applyFont="1" applyBorder="1" applyAlignment="1">
      <alignment horizontal="center" vertical="center"/>
    </xf>
    <xf numFmtId="0" fontId="54" fillId="0" borderId="9" xfId="0" applyFont="1" applyBorder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70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54" fillId="0" borderId="17" xfId="0" applyFont="1" applyBorder="1"/>
    <xf numFmtId="0" fontId="54" fillId="0" borderId="17" xfId="0" applyFont="1" applyBorder="1" applyAlignment="1">
      <alignment horizontal="center" vertical="center"/>
    </xf>
    <xf numFmtId="0" fontId="18" fillId="0" borderId="17" xfId="0" applyFont="1" applyBorder="1"/>
    <xf numFmtId="0" fontId="3" fillId="0" borderId="17" xfId="0" applyFont="1" applyBorder="1"/>
    <xf numFmtId="170" fontId="57" fillId="0" borderId="119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57" fillId="0" borderId="6" xfId="0" applyFont="1" applyBorder="1" applyAlignment="1">
      <alignment horizontal="right" vertical="center"/>
    </xf>
    <xf numFmtId="0" fontId="57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6" xfId="0" applyFont="1" applyBorder="1" applyAlignment="1">
      <alignment horizontal="right" vertical="center"/>
    </xf>
    <xf numFmtId="0" fontId="8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49" fontId="3" fillId="0" borderId="6" xfId="0" applyNumberFormat="1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" fontId="55" fillId="0" borderId="17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1" fontId="55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9" fillId="0" borderId="10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" fontId="58" fillId="0" borderId="0" xfId="0" applyNumberFormat="1" applyFont="1" applyAlignment="1">
      <alignment horizontal="center" vertical="center"/>
    </xf>
    <xf numFmtId="170" fontId="3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16" fillId="0" borderId="50" xfId="0" applyFont="1" applyBorder="1" applyAlignment="1">
      <alignment horizontal="center" vertical="center"/>
    </xf>
    <xf numFmtId="0" fontId="6" fillId="0" borderId="95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41" xfId="0" applyFont="1" applyBorder="1" applyAlignment="1">
      <alignment horizontal="left" vertical="center"/>
    </xf>
    <xf numFmtId="0" fontId="16" fillId="0" borderId="33" xfId="0" applyFont="1" applyBorder="1" applyAlignment="1">
      <alignment horizontal="left" vertical="center"/>
    </xf>
    <xf numFmtId="0" fontId="16" fillId="0" borderId="48" xfId="0" applyFont="1" applyBorder="1" applyAlignment="1">
      <alignment horizontal="left" vertical="center"/>
    </xf>
    <xf numFmtId="169" fontId="16" fillId="0" borderId="6" xfId="0" applyNumberFormat="1" applyFont="1" applyBorder="1" applyAlignment="1">
      <alignment horizontal="center" vertical="center"/>
    </xf>
    <xf numFmtId="0" fontId="76" fillId="0" borderId="6" xfId="0" applyFont="1" applyBorder="1" applyAlignment="1">
      <alignment horizontal="right" vertical="center" wrapText="1"/>
    </xf>
    <xf numFmtId="49" fontId="0" fillId="0" borderId="6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6" fillId="0" borderId="73" xfId="0" applyFont="1" applyBorder="1" applyAlignment="1">
      <alignment horizontal="right" vertical="center" wrapText="1"/>
    </xf>
    <xf numFmtId="0" fontId="76" fillId="0" borderId="0" xfId="0" applyFont="1" applyAlignment="1">
      <alignment horizontal="right" vertical="center" wrapText="1"/>
    </xf>
    <xf numFmtId="169" fontId="69" fillId="0" borderId="0" xfId="0" applyNumberFormat="1" applyFont="1" applyAlignment="1">
      <alignment horizontal="left" vertical="center" wrapText="1"/>
    </xf>
    <xf numFmtId="0" fontId="16" fillId="0" borderId="99" xfId="0" applyFont="1" applyBorder="1"/>
    <xf numFmtId="0" fontId="16" fillId="0" borderId="108" xfId="0" applyFont="1" applyBorder="1"/>
    <xf numFmtId="0" fontId="71" fillId="8" borderId="45" xfId="0" applyFont="1" applyFill="1" applyBorder="1" applyAlignment="1">
      <alignment horizontal="center" vertical="center" wrapText="1"/>
    </xf>
    <xf numFmtId="0" fontId="71" fillId="8" borderId="105" xfId="0" applyFont="1" applyFill="1" applyBorder="1" applyAlignment="1">
      <alignment horizontal="center" vertical="center" wrapText="1"/>
    </xf>
    <xf numFmtId="0" fontId="71" fillId="8" borderId="95" xfId="0" applyFont="1" applyFill="1" applyBorder="1" applyAlignment="1">
      <alignment horizontal="center" vertical="center" wrapText="1"/>
    </xf>
    <xf numFmtId="0" fontId="8" fillId="8" borderId="4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46" xfId="0" applyFont="1" applyFill="1" applyBorder="1" applyAlignment="1">
      <alignment horizontal="center" vertical="center"/>
    </xf>
    <xf numFmtId="0" fontId="8" fillId="8" borderId="47" xfId="0" applyFont="1" applyFill="1" applyBorder="1" applyAlignment="1">
      <alignment horizontal="center" vertical="center"/>
    </xf>
    <xf numFmtId="0" fontId="76" fillId="8" borderId="45" xfId="0" applyFont="1" applyFill="1" applyBorder="1" applyAlignment="1">
      <alignment horizontal="center" vertical="center" wrapText="1"/>
    </xf>
    <xf numFmtId="0" fontId="76" fillId="8" borderId="96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center" vertical="center"/>
    </xf>
    <xf numFmtId="0" fontId="8" fillId="8" borderId="4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56" fillId="0" borderId="4" xfId="3" applyNumberFormat="1" applyFont="1" applyBorder="1" applyAlignment="1">
      <alignment horizontal="center" vertical="center"/>
    </xf>
    <xf numFmtId="0" fontId="56" fillId="0" borderId="4" xfId="0" applyFont="1" applyBorder="1" applyAlignment="1">
      <alignment horizontal="center" vertical="center"/>
    </xf>
    <xf numFmtId="0" fontId="56" fillId="0" borderId="6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7" fillId="0" borderId="11" xfId="0" applyFont="1" applyBorder="1" applyAlignment="1">
      <alignment horizontal="center" vertical="center"/>
    </xf>
    <xf numFmtId="0" fontId="57" fillId="0" borderId="96" xfId="0" applyFont="1" applyBorder="1" applyAlignment="1">
      <alignment horizontal="center" vertical="center"/>
    </xf>
    <xf numFmtId="171" fontId="3" fillId="0" borderId="6" xfId="0" applyNumberFormat="1" applyFont="1" applyBorder="1" applyAlignment="1" applyProtection="1">
      <alignment horizontal="center" vertical="center"/>
      <protection locked="0"/>
    </xf>
    <xf numFmtId="171" fontId="3" fillId="0" borderId="6" xfId="0" applyNumberFormat="1" applyFont="1" applyBorder="1" applyAlignment="1">
      <alignment horizontal="center" vertical="center"/>
    </xf>
    <xf numFmtId="172" fontId="50" fillId="0" borderId="6" xfId="0" applyNumberFormat="1" applyFont="1" applyBorder="1" applyAlignment="1">
      <alignment horizontal="center" vertical="center"/>
    </xf>
    <xf numFmtId="172" fontId="50" fillId="0" borderId="6" xfId="0" applyNumberFormat="1" applyFont="1" applyBorder="1" applyAlignment="1">
      <alignment horizontal="right" vertical="center"/>
    </xf>
    <xf numFmtId="172" fontId="50" fillId="0" borderId="2" xfId="0" applyNumberFormat="1" applyFont="1" applyBorder="1" applyAlignment="1">
      <alignment horizontal="right" vertical="center"/>
    </xf>
    <xf numFmtId="172" fontId="48" fillId="6" borderId="5" xfId="0" applyNumberFormat="1" applyFont="1" applyFill="1" applyBorder="1" applyAlignment="1">
      <alignment horizontal="right" vertical="center"/>
    </xf>
    <xf numFmtId="170" fontId="0" fillId="0" borderId="0" xfId="0" applyNumberFormat="1" applyAlignment="1">
      <alignment horizontal="right"/>
    </xf>
    <xf numFmtId="172" fontId="50" fillId="0" borderId="0" xfId="0" applyNumberFormat="1" applyFont="1" applyAlignment="1">
      <alignment horizontal="right" vertical="center"/>
    </xf>
    <xf numFmtId="0" fontId="16" fillId="0" borderId="6" xfId="0" applyFont="1" applyBorder="1" applyAlignment="1">
      <alignment horizontal="center"/>
    </xf>
    <xf numFmtId="165" fontId="5" fillId="0" borderId="0" xfId="0" applyNumberFormat="1" applyFont="1" applyAlignment="1">
      <alignment vertical="center"/>
    </xf>
    <xf numFmtId="0" fontId="8" fillId="8" borderId="38" xfId="0" applyFont="1" applyFill="1" applyBorder="1" applyAlignment="1">
      <alignment horizontal="center" vertical="center"/>
    </xf>
    <xf numFmtId="0" fontId="16" fillId="0" borderId="99" xfId="0" applyFont="1" applyBorder="1" applyAlignment="1">
      <alignment vertical="center"/>
    </xf>
    <xf numFmtId="0" fontId="16" fillId="0" borderId="118" xfId="0" applyFont="1" applyBorder="1" applyAlignment="1">
      <alignment vertical="center"/>
    </xf>
    <xf numFmtId="0" fontId="3" fillId="0" borderId="31" xfId="0" applyFont="1" applyBorder="1"/>
    <xf numFmtId="169" fontId="6" fillId="0" borderId="6" xfId="0" applyNumberFormat="1" applyFont="1" applyBorder="1" applyAlignment="1">
      <alignment horizontal="center" vertical="center"/>
    </xf>
    <xf numFmtId="0" fontId="62" fillId="0" borderId="39" xfId="0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49" fontId="23" fillId="5" borderId="105" xfId="0" applyNumberFormat="1" applyFont="1" applyFill="1" applyBorder="1" applyAlignment="1">
      <alignment horizontal="center"/>
    </xf>
    <xf numFmtId="0" fontId="56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 applyAlignment="1">
      <alignment horizontal="right" vertical="center"/>
    </xf>
    <xf numFmtId="0" fontId="57" fillId="16" borderId="119" xfId="0" applyFont="1" applyFill="1" applyBorder="1" applyAlignment="1">
      <alignment horizontal="center" vertical="center"/>
    </xf>
    <xf numFmtId="0" fontId="57" fillId="19" borderId="49" xfId="0" applyFont="1" applyFill="1" applyBorder="1" applyAlignment="1">
      <alignment horizontal="center" vertical="center"/>
    </xf>
    <xf numFmtId="171" fontId="16" fillId="0" borderId="6" xfId="0" applyNumberFormat="1" applyFont="1" applyBorder="1" applyAlignment="1">
      <alignment horizontal="center" vertical="center"/>
    </xf>
    <xf numFmtId="171" fontId="16" fillId="0" borderId="73" xfId="0" applyNumberFormat="1" applyFont="1" applyBorder="1" applyAlignment="1">
      <alignment vertical="center"/>
    </xf>
    <xf numFmtId="0" fontId="3" fillId="0" borderId="9" xfId="0" applyFont="1" applyBorder="1" applyAlignment="1">
      <alignment horizontal="center"/>
    </xf>
    <xf numFmtId="49" fontId="5" fillId="0" borderId="6" xfId="0" applyNumberFormat="1" applyFont="1" applyBorder="1" applyAlignment="1">
      <alignment horizontal="center" vertical="center"/>
    </xf>
    <xf numFmtId="44" fontId="5" fillId="0" borderId="6" xfId="0" applyNumberFormat="1" applyFont="1" applyBorder="1"/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70" fillId="0" borderId="41" xfId="0" applyFont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16" fillId="0" borderId="121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0" fillId="0" borderId="37" xfId="0" applyFont="1" applyBorder="1" applyAlignment="1">
      <alignment vertical="center" wrapText="1"/>
    </xf>
    <xf numFmtId="0" fontId="16" fillId="0" borderId="102" xfId="0" applyFont="1" applyBorder="1"/>
    <xf numFmtId="0" fontId="16" fillId="0" borderId="110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9" fillId="0" borderId="51" xfId="0" applyFont="1" applyBorder="1" applyAlignment="1">
      <alignment horizontal="center" vertical="center" wrapText="1"/>
    </xf>
    <xf numFmtId="0" fontId="16" fillId="0" borderId="41" xfId="0" applyFont="1" applyBorder="1"/>
    <xf numFmtId="0" fontId="16" fillId="0" borderId="51" xfId="0" applyFont="1" applyBorder="1" applyAlignment="1">
      <alignment vertical="center"/>
    </xf>
    <xf numFmtId="0" fontId="8" fillId="0" borderId="37" xfId="0" applyFont="1" applyBorder="1" applyAlignment="1">
      <alignment horizontal="right" vertical="center"/>
    </xf>
    <xf numFmtId="14" fontId="6" fillId="0" borderId="37" xfId="0" applyNumberFormat="1" applyFont="1" applyBorder="1" applyAlignment="1">
      <alignment horizontal="center" vertical="center" wrapText="1"/>
    </xf>
    <xf numFmtId="0" fontId="68" fillId="11" borderId="121" xfId="0" applyFont="1" applyFill="1" applyBorder="1" applyAlignment="1">
      <alignment horizontal="left" vertical="top" wrapText="1"/>
    </xf>
    <xf numFmtId="0" fontId="86" fillId="0" borderId="96" xfId="0" applyFont="1" applyBorder="1" applyAlignment="1">
      <alignment horizontal="center" vertical="center" wrapText="1"/>
    </xf>
    <xf numFmtId="0" fontId="69" fillId="0" borderId="96" xfId="0" applyFont="1" applyBorder="1" applyAlignment="1">
      <alignment vertical="center" wrapText="1"/>
    </xf>
    <xf numFmtId="0" fontId="0" fillId="0" borderId="73" xfId="0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6" fillId="0" borderId="124" xfId="0" applyFont="1" applyBorder="1" applyAlignment="1">
      <alignment horizontal="center" vertical="center" wrapText="1"/>
    </xf>
    <xf numFmtId="0" fontId="86" fillId="0" borderId="117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0" fontId="5" fillId="0" borderId="39" xfId="0" applyFont="1" applyBorder="1" applyAlignment="1">
      <alignment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21" xfId="0" applyFont="1" applyBorder="1" applyAlignment="1">
      <alignment vertical="top" wrapText="1"/>
    </xf>
    <xf numFmtId="0" fontId="76" fillId="8" borderId="107" xfId="0" applyFont="1" applyFill="1" applyBorder="1" applyAlignment="1">
      <alignment horizontal="center" vertical="center" wrapText="1"/>
    </xf>
    <xf numFmtId="0" fontId="5" fillId="0" borderId="95" xfId="0" applyFont="1" applyBorder="1" applyAlignment="1">
      <alignment vertical="top" wrapText="1"/>
    </xf>
    <xf numFmtId="0" fontId="16" fillId="0" borderId="51" xfId="0" applyFont="1" applyBorder="1"/>
    <xf numFmtId="0" fontId="5" fillId="8" borderId="120" xfId="0" applyFont="1" applyFill="1" applyBorder="1" applyAlignment="1">
      <alignment horizontal="center" vertical="center"/>
    </xf>
    <xf numFmtId="0" fontId="16" fillId="0" borderId="120" xfId="0" applyFont="1" applyBorder="1" applyAlignment="1">
      <alignment vertical="center"/>
    </xf>
    <xf numFmtId="169" fontId="0" fillId="0" borderId="110" xfId="0" applyNumberFormat="1" applyBorder="1" applyAlignment="1">
      <alignment horizontal="center" vertical="center"/>
    </xf>
    <xf numFmtId="0" fontId="16" fillId="0" borderId="117" xfId="0" applyFont="1" applyBorder="1" applyAlignment="1">
      <alignment vertical="center"/>
    </xf>
    <xf numFmtId="173" fontId="85" fillId="0" borderId="4" xfId="0" applyNumberFormat="1" applyFont="1" applyBorder="1"/>
    <xf numFmtId="173" fontId="85" fillId="0" borderId="3" xfId="0" applyNumberFormat="1" applyFont="1" applyBorder="1"/>
    <xf numFmtId="173" fontId="85" fillId="0" borderId="6" xfId="0" applyNumberFormat="1" applyFont="1" applyBorder="1"/>
    <xf numFmtId="0" fontId="85" fillId="0" borderId="0" xfId="0" applyFont="1"/>
    <xf numFmtId="173" fontId="85" fillId="0" borderId="5" xfId="0" applyNumberFormat="1" applyFont="1" applyBorder="1"/>
    <xf numFmtId="173" fontId="85" fillId="0" borderId="7" xfId="0" applyNumberFormat="1" applyFont="1" applyBorder="1"/>
    <xf numFmtId="173" fontId="0" fillId="0" borderId="6" xfId="0" applyNumberFormat="1" applyBorder="1" applyAlignment="1">
      <alignment horizontal="center"/>
    </xf>
    <xf numFmtId="173" fontId="0" fillId="0" borderId="0" xfId="0" applyNumberFormat="1"/>
    <xf numFmtId="173" fontId="0" fillId="0" borderId="5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173" fontId="16" fillId="0" borderId="3" xfId="0" applyNumberFormat="1" applyFont="1" applyBorder="1"/>
    <xf numFmtId="0" fontId="88" fillId="0" borderId="5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0" fontId="0" fillId="20" borderId="6" xfId="0" applyFill="1" applyBorder="1" applyAlignment="1">
      <alignment horizontal="center"/>
    </xf>
    <xf numFmtId="0" fontId="2" fillId="20" borderId="5" xfId="0" applyFont="1" applyFill="1" applyBorder="1" applyAlignment="1">
      <alignment horizontal="center"/>
    </xf>
    <xf numFmtId="0" fontId="0" fillId="20" borderId="6" xfId="3" applyNumberFormat="1" applyFont="1" applyFill="1" applyBorder="1" applyAlignment="1">
      <alignment horizontal="center"/>
    </xf>
    <xf numFmtId="0" fontId="0" fillId="20" borderId="0" xfId="0" applyFill="1" applyAlignment="1">
      <alignment horizontal="center"/>
    </xf>
    <xf numFmtId="173" fontId="85" fillId="0" borderId="6" xfId="0" applyNumberFormat="1" applyFont="1" applyBorder="1" applyAlignment="1">
      <alignment horizontal="center"/>
    </xf>
    <xf numFmtId="0" fontId="2" fillId="20" borderId="6" xfId="0" applyFont="1" applyFill="1" applyBorder="1" applyAlignment="1">
      <alignment horizontal="center"/>
    </xf>
    <xf numFmtId="0" fontId="14" fillId="0" borderId="0" xfId="5" applyFill="1"/>
    <xf numFmtId="0" fontId="5" fillId="0" borderId="125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170" fontId="5" fillId="0" borderId="23" xfId="0" applyNumberFormat="1" applyFont="1" applyBorder="1" applyAlignment="1">
      <alignment horizontal="center" vertical="center" wrapText="1"/>
    </xf>
    <xf numFmtId="170" fontId="5" fillId="0" borderId="32" xfId="0" applyNumberFormat="1" applyFont="1" applyBorder="1" applyAlignment="1">
      <alignment vertical="center"/>
    </xf>
    <xf numFmtId="165" fontId="5" fillId="0" borderId="5" xfId="0" applyNumberFormat="1" applyFont="1" applyBorder="1" applyAlignment="1">
      <alignment vertical="center"/>
    </xf>
    <xf numFmtId="165" fontId="5" fillId="0" borderId="10" xfId="0" applyNumberFormat="1" applyFont="1" applyBorder="1" applyAlignment="1">
      <alignment vertical="center"/>
    </xf>
    <xf numFmtId="165" fontId="5" fillId="0" borderId="31" xfId="0" applyNumberFormat="1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0" fillId="0" borderId="44" xfId="0" applyBorder="1"/>
    <xf numFmtId="0" fontId="83" fillId="0" borderId="0" xfId="0" applyFont="1" applyAlignment="1">
      <alignment vertical="center"/>
    </xf>
    <xf numFmtId="0" fontId="87" fillId="0" borderId="0" xfId="0" applyFont="1" applyAlignment="1">
      <alignment vertical="center"/>
    </xf>
    <xf numFmtId="0" fontId="87" fillId="0" borderId="38" xfId="0" applyFont="1" applyBorder="1" applyAlignment="1">
      <alignment vertical="center"/>
    </xf>
    <xf numFmtId="0" fontId="87" fillId="0" borderId="13" xfId="0" applyFont="1" applyBorder="1" applyAlignment="1">
      <alignment vertical="center"/>
    </xf>
    <xf numFmtId="0" fontId="0" fillId="0" borderId="119" xfId="0" applyBorder="1"/>
    <xf numFmtId="0" fontId="0" fillId="0" borderId="51" xfId="0" applyBorder="1"/>
    <xf numFmtId="0" fontId="0" fillId="0" borderId="50" xfId="0" applyBorder="1"/>
    <xf numFmtId="0" fontId="83" fillId="8" borderId="49" xfId="0" applyFont="1" applyFill="1" applyBorder="1" applyAlignment="1">
      <alignment vertical="center"/>
    </xf>
    <xf numFmtId="0" fontId="83" fillId="8" borderId="119" xfId="0" applyFont="1" applyFill="1" applyBorder="1" applyAlignment="1">
      <alignment vertical="center"/>
    </xf>
    <xf numFmtId="171" fontId="87" fillId="0" borderId="49" xfId="0" applyNumberFormat="1" applyFont="1" applyBorder="1" applyAlignment="1">
      <alignment horizontal="left" vertical="center"/>
    </xf>
    <xf numFmtId="0" fontId="0" fillId="0" borderId="100" xfId="0" applyBorder="1"/>
    <xf numFmtId="0" fontId="0" fillId="0" borderId="101" xfId="0" applyBorder="1"/>
    <xf numFmtId="0" fontId="2" fillId="0" borderId="6" xfId="0" applyFont="1" applyBorder="1" applyAlignment="1">
      <alignment horizontal="center" wrapText="1"/>
    </xf>
    <xf numFmtId="173" fontId="3" fillId="0" borderId="0" xfId="0" applyNumberFormat="1" applyFont="1"/>
    <xf numFmtId="174" fontId="3" fillId="0" borderId="0" xfId="0" applyNumberFormat="1" applyFont="1"/>
    <xf numFmtId="1" fontId="3" fillId="0" borderId="0" xfId="4" applyNumberFormat="1" applyFont="1"/>
    <xf numFmtId="175" fontId="3" fillId="0" borderId="0" xfId="4" applyNumberFormat="1" applyFont="1"/>
    <xf numFmtId="0" fontId="14" fillId="0" borderId="4" xfId="5" applyBorder="1" applyAlignment="1">
      <alignment horizontal="center" vertical="center"/>
    </xf>
    <xf numFmtId="0" fontId="56" fillId="0" borderId="6" xfId="0" applyFont="1" applyBorder="1" applyAlignment="1">
      <alignment horizontal="center" vertical="center" wrapText="1"/>
    </xf>
    <xf numFmtId="0" fontId="57" fillId="0" borderId="12" xfId="0" applyFont="1" applyBorder="1" applyAlignment="1">
      <alignment horizontal="center" vertical="center"/>
    </xf>
    <xf numFmtId="0" fontId="16" fillId="0" borderId="96" xfId="0" applyFont="1" applyBorder="1" applyAlignment="1">
      <alignment horizontal="center" vertical="center"/>
    </xf>
    <xf numFmtId="14" fontId="87" fillId="0" borderId="119" xfId="0" applyNumberFormat="1" applyFont="1" applyBorder="1" applyAlignment="1">
      <alignment horizontal="left" vertical="center"/>
    </xf>
    <xf numFmtId="169" fontId="56" fillId="0" borderId="98" xfId="0" applyNumberFormat="1" applyFont="1" applyBorder="1" applyAlignment="1">
      <alignment horizontal="center" vertical="center"/>
    </xf>
    <xf numFmtId="169" fontId="89" fillId="0" borderId="97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wrapText="1"/>
    </xf>
    <xf numFmtId="0" fontId="3" fillId="0" borderId="35" xfId="0" applyFont="1" applyBorder="1" applyAlignment="1">
      <alignment vertical="top"/>
    </xf>
    <xf numFmtId="44" fontId="3" fillId="0" borderId="35" xfId="3" applyFont="1" applyFill="1" applyBorder="1" applyAlignment="1">
      <alignment horizontal="center" vertical="top"/>
    </xf>
    <xf numFmtId="43" fontId="3" fillId="0" borderId="35" xfId="6" applyFont="1" applyFill="1" applyBorder="1" applyAlignment="1">
      <alignment horizontal="center" vertical="top"/>
    </xf>
    <xf numFmtId="0" fontId="3" fillId="0" borderId="35" xfId="0" applyFont="1" applyBorder="1"/>
    <xf numFmtId="0" fontId="3" fillId="0" borderId="35" xfId="0" applyFont="1" applyBorder="1" applyAlignment="1">
      <alignment horizontal="center"/>
    </xf>
    <xf numFmtId="44" fontId="3" fillId="0" borderId="35" xfId="3" applyFont="1" applyFill="1" applyBorder="1" applyAlignment="1">
      <alignment horizontal="center"/>
    </xf>
    <xf numFmtId="43" fontId="3" fillId="0" borderId="74" xfId="6" applyFont="1" applyFill="1" applyBorder="1" applyAlignment="1">
      <alignment horizontal="center" vertical="top"/>
    </xf>
    <xf numFmtId="44" fontId="3" fillId="0" borderId="35" xfId="0" applyNumberFormat="1" applyFont="1" applyBorder="1" applyAlignment="1">
      <alignment horizontal="center"/>
    </xf>
    <xf numFmtId="44" fontId="3" fillId="0" borderId="36" xfId="3" applyFont="1" applyFill="1" applyBorder="1" applyAlignment="1">
      <alignment horizontal="center"/>
    </xf>
    <xf numFmtId="17" fontId="3" fillId="0" borderId="35" xfId="0" applyNumberFormat="1" applyFont="1" applyBorder="1"/>
    <xf numFmtId="166" fontId="3" fillId="0" borderId="6" xfId="3" applyNumberFormat="1" applyFont="1" applyFill="1" applyBorder="1" applyAlignment="1">
      <alignment horizontal="center"/>
    </xf>
    <xf numFmtId="0" fontId="3" fillId="0" borderId="73" xfId="0" applyFont="1" applyBorder="1" applyAlignment="1">
      <alignment horizontal="center"/>
    </xf>
    <xf numFmtId="166" fontId="3" fillId="0" borderId="4" xfId="3" applyNumberFormat="1" applyFont="1" applyFill="1" applyBorder="1" applyAlignment="1">
      <alignment horizontal="center"/>
    </xf>
    <xf numFmtId="44" fontId="3" fillId="0" borderId="0" xfId="0" applyNumberFormat="1" applyFont="1" applyAlignment="1">
      <alignment horizontal="center"/>
    </xf>
    <xf numFmtId="170" fontId="16" fillId="0" borderId="6" xfId="0" applyNumberFormat="1" applyFont="1" applyBorder="1" applyAlignment="1">
      <alignment horizontal="center" vertical="center"/>
    </xf>
    <xf numFmtId="49" fontId="57" fillId="0" borderId="2" xfId="0" applyNumberFormat="1" applyFont="1" applyBorder="1" applyAlignment="1">
      <alignment horizontal="center" vertical="center"/>
    </xf>
    <xf numFmtId="170" fontId="16" fillId="0" borderId="20" xfId="0" applyNumberFormat="1" applyFont="1" applyBorder="1" applyAlignment="1" applyProtection="1">
      <alignment horizontal="center" vertical="center"/>
      <protection locked="0"/>
    </xf>
    <xf numFmtId="0" fontId="5" fillId="8" borderId="11" xfId="0" applyFont="1" applyFill="1" applyBorder="1" applyAlignment="1">
      <alignment horizontal="center" vertical="center"/>
    </xf>
    <xf numFmtId="0" fontId="8" fillId="0" borderId="106" xfId="0" applyFont="1" applyBorder="1" applyAlignment="1">
      <alignment vertical="center"/>
    </xf>
    <xf numFmtId="14" fontId="15" fillId="0" borderId="40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49" fontId="8" fillId="0" borderId="98" xfId="0" applyNumberFormat="1" applyFont="1" applyBorder="1" applyAlignment="1">
      <alignment horizontal="center" vertical="center"/>
    </xf>
    <xf numFmtId="0" fontId="2" fillId="0" borderId="96" xfId="0" applyFont="1" applyBorder="1"/>
    <xf numFmtId="0" fontId="8" fillId="0" borderId="97" xfId="0" applyFont="1" applyBorder="1" applyAlignment="1">
      <alignment horizontal="center" vertical="center"/>
    </xf>
    <xf numFmtId="44" fontId="33" fillId="0" borderId="0" xfId="3" applyFont="1"/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1" fontId="16" fillId="0" borderId="73" xfId="0" applyNumberFormat="1" applyFont="1" applyBorder="1" applyAlignment="1">
      <alignment horizontal="center" vertical="center"/>
    </xf>
    <xf numFmtId="171" fontId="16" fillId="5" borderId="73" xfId="0" applyNumberFormat="1" applyFont="1" applyFill="1" applyBorder="1" applyAlignment="1" applyProtection="1">
      <alignment horizontal="center" vertical="center"/>
      <protection locked="0"/>
    </xf>
    <xf numFmtId="170" fontId="8" fillId="0" borderId="4" xfId="0" applyNumberFormat="1" applyFont="1" applyBorder="1" applyAlignment="1">
      <alignment horizontal="center" vertical="center"/>
    </xf>
    <xf numFmtId="0" fontId="3" fillId="0" borderId="128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5" fillId="0" borderId="11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 wrapText="1"/>
    </xf>
    <xf numFmtId="0" fontId="5" fillId="0" borderId="96" xfId="0" applyFont="1" applyBorder="1" applyAlignment="1">
      <alignment horizontal="left" vertical="center" wrapText="1"/>
    </xf>
    <xf numFmtId="49" fontId="3" fillId="0" borderId="0" xfId="0" applyNumberFormat="1" applyFont="1" applyAlignment="1" applyProtection="1">
      <alignment horizontal="left" vertical="center"/>
      <protection locked="0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7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1" fontId="3" fillId="0" borderId="129" xfId="0" applyNumberFormat="1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0" fontId="3" fillId="20" borderId="38" xfId="0" applyFont="1" applyFill="1" applyBorder="1"/>
    <xf numFmtId="0" fontId="3" fillId="20" borderId="39" xfId="0" applyFont="1" applyFill="1" applyBorder="1"/>
    <xf numFmtId="0" fontId="5" fillId="20" borderId="105" xfId="0" applyFont="1" applyFill="1" applyBorder="1" applyAlignment="1">
      <alignment horizontal="center"/>
    </xf>
    <xf numFmtId="0" fontId="3" fillId="20" borderId="40" xfId="0" applyFont="1" applyFill="1" applyBorder="1"/>
    <xf numFmtId="0" fontId="5" fillId="20" borderId="6" xfId="0" applyFont="1" applyFill="1" applyBorder="1" applyAlignment="1">
      <alignment horizontal="center" vertical="center" wrapText="1"/>
    </xf>
    <xf numFmtId="0" fontId="3" fillId="20" borderId="6" xfId="0" applyFont="1" applyFill="1" applyBorder="1" applyAlignment="1">
      <alignment horizontal="center"/>
    </xf>
    <xf numFmtId="0" fontId="3" fillId="20" borderId="98" xfId="0" applyFont="1" applyFill="1" applyBorder="1" applyAlignment="1">
      <alignment horizontal="center"/>
    </xf>
    <xf numFmtId="0" fontId="3" fillId="20" borderId="11" xfId="0" applyFont="1" applyFill="1" applyBorder="1" applyAlignment="1">
      <alignment horizontal="center"/>
    </xf>
    <xf numFmtId="0" fontId="3" fillId="20" borderId="6" xfId="0" applyFont="1" applyFill="1" applyBorder="1" applyAlignment="1">
      <alignment horizontal="right"/>
    </xf>
    <xf numFmtId="0" fontId="3" fillId="20" borderId="6" xfId="0" applyFont="1" applyFill="1" applyBorder="1"/>
    <xf numFmtId="167" fontId="3" fillId="20" borderId="6" xfId="6" applyNumberFormat="1" applyFont="1" applyFill="1" applyBorder="1"/>
    <xf numFmtId="166" fontId="3" fillId="20" borderId="98" xfId="0" applyNumberFormat="1" applyFont="1" applyFill="1" applyBorder="1"/>
    <xf numFmtId="0" fontId="3" fillId="20" borderId="11" xfId="0" applyFont="1" applyFill="1" applyBorder="1" applyAlignment="1">
      <alignment horizontal="center" vertical="center"/>
    </xf>
    <xf numFmtId="0" fontId="3" fillId="20" borderId="6" xfId="0" applyFont="1" applyFill="1" applyBorder="1" applyAlignment="1">
      <alignment horizontal="center" wrapText="1"/>
    </xf>
    <xf numFmtId="6" fontId="3" fillId="20" borderId="6" xfId="0" applyNumberFormat="1" applyFont="1" applyFill="1" applyBorder="1"/>
    <xf numFmtId="0" fontId="3" fillId="20" borderId="12" xfId="0" applyFont="1" applyFill="1" applyBorder="1"/>
    <xf numFmtId="0" fontId="3" fillId="20" borderId="0" xfId="0" applyFont="1" applyFill="1"/>
    <xf numFmtId="0" fontId="5" fillId="20" borderId="6" xfId="0" applyFont="1" applyFill="1" applyBorder="1" applyAlignment="1">
      <alignment horizontal="center" vertical="center"/>
    </xf>
    <xf numFmtId="0" fontId="3" fillId="20" borderId="1" xfId="0" applyFont="1" applyFill="1" applyBorder="1"/>
    <xf numFmtId="44" fontId="5" fillId="20" borderId="98" xfId="3" applyFont="1" applyFill="1" applyBorder="1"/>
    <xf numFmtId="0" fontId="3" fillId="20" borderId="12" xfId="0" applyFont="1" applyFill="1" applyBorder="1" applyAlignment="1">
      <alignment horizontal="center"/>
    </xf>
    <xf numFmtId="0" fontId="3" fillId="20" borderId="9" xfId="0" applyFont="1" applyFill="1" applyBorder="1" applyAlignment="1">
      <alignment horizontal="center"/>
    </xf>
    <xf numFmtId="0" fontId="3" fillId="20" borderId="6" xfId="0" applyFont="1" applyFill="1" applyBorder="1" applyAlignment="1">
      <alignment horizontal="center" vertical="center"/>
    </xf>
    <xf numFmtId="8" fontId="3" fillId="20" borderId="98" xfId="0" applyNumberFormat="1" applyFont="1" applyFill="1" applyBorder="1"/>
    <xf numFmtId="0" fontId="3" fillId="20" borderId="13" xfId="0" applyFont="1" applyFill="1" applyBorder="1"/>
    <xf numFmtId="0" fontId="3" fillId="20" borderId="37" xfId="0" applyFont="1" applyFill="1" applyBorder="1"/>
    <xf numFmtId="0" fontId="5" fillId="20" borderId="73" xfId="0" applyFont="1" applyFill="1" applyBorder="1" applyAlignment="1">
      <alignment horizontal="center" vertical="center"/>
    </xf>
    <xf numFmtId="44" fontId="3" fillId="20" borderId="97" xfId="0" applyNumberFormat="1" applyFont="1" applyFill="1" applyBorder="1"/>
    <xf numFmtId="49" fontId="8" fillId="0" borderId="7" xfId="0" applyNumberFormat="1" applyFont="1" applyBorder="1" applyAlignment="1">
      <alignment vertical="center"/>
    </xf>
    <xf numFmtId="49" fontId="8" fillId="0" borderId="16" xfId="0" applyNumberFormat="1" applyFont="1" applyBorder="1" applyAlignment="1">
      <alignment vertical="center"/>
    </xf>
    <xf numFmtId="0" fontId="6" fillId="0" borderId="49" xfId="0" applyFont="1" applyBorder="1" applyAlignment="1">
      <alignment vertical="center"/>
    </xf>
    <xf numFmtId="0" fontId="6" fillId="0" borderId="51" xfId="0" applyFont="1" applyBorder="1" applyAlignment="1">
      <alignment vertical="center"/>
    </xf>
    <xf numFmtId="0" fontId="8" fillId="8" borderId="130" xfId="0" applyFont="1" applyFill="1" applyBorder="1" applyAlignment="1">
      <alignment horizontal="center" vertical="center"/>
    </xf>
    <xf numFmtId="0" fontId="6" fillId="0" borderId="131" xfId="0" applyFont="1" applyBorder="1" applyAlignment="1">
      <alignment horizontal="left" vertical="center"/>
    </xf>
    <xf numFmtId="0" fontId="6" fillId="0" borderId="5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31" xfId="0" applyFont="1" applyBorder="1" applyAlignment="1">
      <alignment vertical="center"/>
    </xf>
    <xf numFmtId="0" fontId="14" fillId="0" borderId="108" xfId="5" applyBorder="1" applyAlignment="1">
      <alignment vertical="center" wrapText="1"/>
    </xf>
    <xf numFmtId="0" fontId="6" fillId="0" borderId="33" xfId="0" applyFont="1" applyBorder="1" applyAlignment="1">
      <alignment vertical="center" wrapText="1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5" fillId="0" borderId="6" xfId="0" applyFont="1" applyBorder="1" applyAlignment="1">
      <alignment horizontal="left" vertical="center"/>
    </xf>
    <xf numFmtId="0" fontId="0" fillId="0" borderId="6" xfId="0" applyBorder="1"/>
    <xf numFmtId="0" fontId="0" fillId="0" borderId="6" xfId="0" applyBorder="1" applyAlignment="1">
      <alignment horizontal="left" vertical="center"/>
    </xf>
    <xf numFmtId="165" fontId="5" fillId="0" borderId="5" xfId="0" applyNumberFormat="1" applyFont="1" applyBorder="1" applyAlignment="1">
      <alignment horizontal="left" vertical="center"/>
    </xf>
    <xf numFmtId="165" fontId="5" fillId="0" borderId="10" xfId="0" applyNumberFormat="1" applyFont="1" applyBorder="1" applyAlignment="1">
      <alignment horizontal="left" vertical="center"/>
    </xf>
    <xf numFmtId="0" fontId="0" fillId="0" borderId="10" xfId="0" applyBorder="1"/>
    <xf numFmtId="0" fontId="0" fillId="0" borderId="31" xfId="0" applyBorder="1"/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62" fillId="0" borderId="100" xfId="0" applyFont="1" applyBorder="1" applyAlignment="1">
      <alignment horizontal="center" vertical="center"/>
    </xf>
    <xf numFmtId="0" fontId="62" fillId="0" borderId="101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6" fillId="0" borderId="42" xfId="0" applyFont="1" applyBorder="1" applyAlignment="1">
      <alignment horizontal="center" vertical="center" wrapText="1"/>
    </xf>
    <xf numFmtId="0" fontId="86" fillId="0" borderId="43" xfId="0" applyFont="1" applyBorder="1" applyAlignment="1">
      <alignment horizontal="center" vertical="center" wrapText="1"/>
    </xf>
    <xf numFmtId="0" fontId="63" fillId="0" borderId="118" xfId="0" applyFont="1" applyBorder="1" applyAlignment="1">
      <alignment horizontal="center" vertical="center"/>
    </xf>
    <xf numFmtId="0" fontId="63" fillId="0" borderId="33" xfId="0" applyFont="1" applyBorder="1" applyAlignment="1">
      <alignment horizontal="center" vertical="center"/>
    </xf>
    <xf numFmtId="49" fontId="63" fillId="0" borderId="116" xfId="0" applyNumberFormat="1" applyFont="1" applyBorder="1" applyAlignment="1">
      <alignment horizontal="center" vertical="center"/>
    </xf>
    <xf numFmtId="49" fontId="63" fillId="0" borderId="117" xfId="0" applyNumberFormat="1" applyFont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71" fillId="8" borderId="105" xfId="0" applyFont="1" applyFill="1" applyBorder="1" applyAlignment="1">
      <alignment horizontal="center" vertical="center" wrapText="1"/>
    </xf>
    <xf numFmtId="0" fontId="0" fillId="0" borderId="100" xfId="0" applyBorder="1" applyAlignment="1">
      <alignment horizontal="center"/>
    </xf>
    <xf numFmtId="0" fontId="0" fillId="0" borderId="102" xfId="0" applyBorder="1" applyAlignment="1">
      <alignment horizontal="center"/>
    </xf>
    <xf numFmtId="14" fontId="6" fillId="0" borderId="0" xfId="0" applyNumberFormat="1" applyFont="1" applyAlignment="1">
      <alignment horizontal="center" vertical="center" wrapText="1"/>
    </xf>
    <xf numFmtId="14" fontId="6" fillId="0" borderId="41" xfId="0" applyNumberFormat="1" applyFont="1" applyBorder="1" applyAlignment="1">
      <alignment horizontal="center" vertical="center" wrapText="1"/>
    </xf>
    <xf numFmtId="14" fontId="6" fillId="0" borderId="37" xfId="0" applyNumberFormat="1" applyFont="1" applyBorder="1" applyAlignment="1">
      <alignment horizontal="center" vertical="center" wrapText="1"/>
    </xf>
    <xf numFmtId="14" fontId="6" fillId="0" borderId="44" xfId="0" applyNumberFormat="1" applyFont="1" applyBorder="1" applyAlignment="1">
      <alignment horizontal="center" vertical="center" wrapText="1"/>
    </xf>
    <xf numFmtId="49" fontId="6" fillId="0" borderId="7" xfId="0" applyNumberFormat="1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26" xfId="0" applyFont="1" applyBorder="1" applyAlignment="1">
      <alignment horizontal="center" vertical="center"/>
    </xf>
    <xf numFmtId="0" fontId="16" fillId="0" borderId="12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69" fillId="0" borderId="107" xfId="0" applyFont="1" applyBorder="1" applyAlignment="1">
      <alignment horizontal="center" vertical="center" wrapText="1"/>
    </xf>
    <xf numFmtId="0" fontId="69" fillId="0" borderId="122" xfId="0" applyFont="1" applyBorder="1" applyAlignment="1">
      <alignment horizontal="center" vertical="center" wrapText="1"/>
    </xf>
    <xf numFmtId="0" fontId="69" fillId="0" borderId="11" xfId="0" applyFont="1" applyBorder="1" applyAlignment="1">
      <alignment horizontal="center" vertical="center" wrapText="1"/>
    </xf>
    <xf numFmtId="0" fontId="69" fillId="0" borderId="6" xfId="0" applyFont="1" applyBorder="1" applyAlignment="1">
      <alignment horizontal="center" vertical="center" wrapText="1"/>
    </xf>
    <xf numFmtId="0" fontId="69" fillId="0" borderId="96" xfId="0" applyFont="1" applyBorder="1" applyAlignment="1">
      <alignment horizontal="center" vertical="center" wrapText="1"/>
    </xf>
    <xf numFmtId="0" fontId="69" fillId="0" borderId="73" xfId="0" applyFont="1" applyBorder="1" applyAlignment="1">
      <alignment horizontal="center" vertical="center" wrapText="1"/>
    </xf>
    <xf numFmtId="0" fontId="69" fillId="0" borderId="4" xfId="0" applyFont="1" applyBorder="1" applyAlignment="1">
      <alignment horizontal="center" vertical="center" wrapText="1"/>
    </xf>
    <xf numFmtId="0" fontId="74" fillId="8" borderId="45" xfId="0" applyFont="1" applyFill="1" applyBorder="1" applyAlignment="1">
      <alignment horizontal="center" vertical="center" wrapText="1"/>
    </xf>
    <xf numFmtId="0" fontId="74" fillId="8" borderId="95" xfId="0" applyFont="1" applyFill="1" applyBorder="1" applyAlignment="1">
      <alignment horizontal="center" vertical="center" wrapText="1"/>
    </xf>
    <xf numFmtId="0" fontId="68" fillId="11" borderId="12" xfId="0" applyFont="1" applyFill="1" applyBorder="1" applyAlignment="1">
      <alignment horizontal="left" vertical="top" wrapText="1"/>
    </xf>
    <xf numFmtId="0" fontId="68" fillId="11" borderId="41" xfId="0" applyFont="1" applyFill="1" applyBorder="1" applyAlignment="1">
      <alignment horizontal="left" vertical="top" wrapText="1"/>
    </xf>
    <xf numFmtId="0" fontId="68" fillId="11" borderId="13" xfId="0" applyFont="1" applyFill="1" applyBorder="1" applyAlignment="1">
      <alignment horizontal="left" vertical="top" wrapText="1"/>
    </xf>
    <xf numFmtId="0" fontId="68" fillId="11" borderId="44" xfId="0" applyFont="1" applyFill="1" applyBorder="1" applyAlignment="1">
      <alignment horizontal="left" vertical="top" wrapText="1"/>
    </xf>
    <xf numFmtId="0" fontId="71" fillId="11" borderId="13" xfId="0" applyFont="1" applyFill="1" applyBorder="1" applyAlignment="1">
      <alignment horizontal="left" vertical="center" wrapText="1"/>
    </xf>
    <xf numFmtId="0" fontId="71" fillId="11" borderId="37" xfId="0" applyFont="1" applyFill="1" applyBorder="1" applyAlignment="1">
      <alignment horizontal="left" vertical="center" wrapText="1"/>
    </xf>
    <xf numFmtId="0" fontId="71" fillId="11" borderId="123" xfId="0" applyFont="1" applyFill="1" applyBorder="1" applyAlignment="1">
      <alignment horizontal="left" vertical="center" wrapText="1"/>
    </xf>
    <xf numFmtId="0" fontId="74" fillId="8" borderId="105" xfId="0" applyFont="1" applyFill="1" applyBorder="1" applyAlignment="1">
      <alignment horizontal="center" vertical="center" wrapText="1"/>
    </xf>
    <xf numFmtId="0" fontId="86" fillId="0" borderId="47" xfId="0" applyFont="1" applyBorder="1" applyAlignment="1">
      <alignment horizontal="center" vertical="center" wrapText="1"/>
    </xf>
    <xf numFmtId="0" fontId="86" fillId="0" borderId="48" xfId="0" applyFont="1" applyBorder="1" applyAlignment="1">
      <alignment horizontal="center" vertical="center" wrapText="1"/>
    </xf>
    <xf numFmtId="0" fontId="20" fillId="0" borderId="38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44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21" fillId="0" borderId="51" xfId="0" applyFont="1" applyBorder="1" applyAlignment="1">
      <alignment horizontal="center" vertical="center"/>
    </xf>
    <xf numFmtId="0" fontId="21" fillId="0" borderId="50" xfId="0" applyFont="1" applyBorder="1" applyAlignment="1">
      <alignment horizontal="center" vertical="center"/>
    </xf>
    <xf numFmtId="0" fontId="16" fillId="0" borderId="12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65" fillId="6" borderId="6" xfId="0" applyFont="1" applyFill="1" applyBorder="1" applyAlignment="1">
      <alignment horizontal="center" vertical="center"/>
    </xf>
    <xf numFmtId="0" fontId="65" fillId="5" borderId="6" xfId="0" applyFont="1" applyFill="1" applyBorder="1" applyAlignment="1">
      <alignment horizontal="center" vertical="center"/>
    </xf>
    <xf numFmtId="0" fontId="90" fillId="0" borderId="49" xfId="0" applyFont="1" applyBorder="1" applyAlignment="1">
      <alignment horizontal="center" vertical="center" wrapText="1"/>
    </xf>
    <xf numFmtId="0" fontId="90" fillId="0" borderId="51" xfId="0" applyFont="1" applyBorder="1" applyAlignment="1">
      <alignment horizontal="center" vertical="center" wrapText="1"/>
    </xf>
    <xf numFmtId="0" fontId="90" fillId="0" borderId="5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49" fontId="3" fillId="0" borderId="10" xfId="0" applyNumberFormat="1" applyFont="1" applyBorder="1" applyAlignment="1" applyProtection="1">
      <alignment horizontal="center" vertical="center"/>
      <protection locked="0"/>
    </xf>
    <xf numFmtId="49" fontId="3" fillId="0" borderId="31" xfId="0" applyNumberFormat="1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79" fillId="0" borderId="6" xfId="0" applyFont="1" applyBorder="1" applyAlignment="1">
      <alignment horizontal="center"/>
    </xf>
    <xf numFmtId="0" fontId="64" fillId="10" borderId="2" xfId="0" applyFont="1" applyFill="1" applyBorder="1" applyAlignment="1">
      <alignment horizontal="center" vertical="center"/>
    </xf>
    <xf numFmtId="170" fontId="57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0" fontId="25" fillId="0" borderId="6" xfId="0" applyFont="1" applyBorder="1" applyAlignment="1">
      <alignment horizontal="left" vertical="center"/>
    </xf>
    <xf numFmtId="0" fontId="80" fillId="3" borderId="6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108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127" xfId="0" applyFont="1" applyBorder="1" applyAlignment="1">
      <alignment horizontal="center" vertical="center"/>
    </xf>
    <xf numFmtId="170" fontId="50" fillId="0" borderId="88" xfId="0" applyNumberFormat="1" applyFont="1" applyBorder="1" applyAlignment="1">
      <alignment horizontal="center" vertical="center" wrapText="1"/>
    </xf>
    <xf numFmtId="170" fontId="50" fillId="0" borderId="90" xfId="0" applyNumberFormat="1" applyFont="1" applyBorder="1" applyAlignment="1">
      <alignment horizontal="center" vertical="center" wrapText="1"/>
    </xf>
    <xf numFmtId="170" fontId="51" fillId="0" borderId="88" xfId="0" applyNumberFormat="1" applyFont="1" applyBorder="1" applyAlignment="1">
      <alignment horizontal="center" vertical="center"/>
    </xf>
    <xf numFmtId="170" fontId="51" fillId="0" borderId="90" xfId="0" applyNumberFormat="1" applyFont="1" applyBorder="1" applyAlignment="1">
      <alignment horizontal="center" vertical="center"/>
    </xf>
    <xf numFmtId="170" fontId="51" fillId="0" borderId="88" xfId="0" applyNumberFormat="1" applyFont="1" applyBorder="1" applyAlignment="1">
      <alignment horizontal="center" vertical="center" wrapText="1"/>
    </xf>
    <xf numFmtId="170" fontId="49" fillId="0" borderId="88" xfId="0" applyNumberFormat="1" applyFont="1" applyBorder="1" applyAlignment="1">
      <alignment horizontal="center" vertical="center" wrapText="1"/>
    </xf>
    <xf numFmtId="170" fontId="49" fillId="0" borderId="90" xfId="0" applyNumberFormat="1" applyFont="1" applyBorder="1" applyAlignment="1">
      <alignment horizontal="center" vertical="center"/>
    </xf>
    <xf numFmtId="170" fontId="50" fillId="0" borderId="2" xfId="0" applyNumberFormat="1" applyFont="1" applyBorder="1" applyAlignment="1">
      <alignment horizontal="center" vertical="center" wrapText="1"/>
    </xf>
    <xf numFmtId="170" fontId="50" fillId="0" borderId="4" xfId="0" applyNumberFormat="1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5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2" fillId="0" borderId="75" xfId="0" applyFont="1" applyBorder="1" applyAlignment="1">
      <alignment horizontal="center"/>
    </xf>
    <xf numFmtId="0" fontId="5" fillId="0" borderId="75" xfId="0" applyFont="1" applyBorder="1" applyAlignment="1">
      <alignment horizontal="center"/>
    </xf>
    <xf numFmtId="0" fontId="3" fillId="0" borderId="75" xfId="0" applyFont="1" applyBorder="1" applyAlignment="1">
      <alignment horizontal="center"/>
    </xf>
    <xf numFmtId="49" fontId="3" fillId="0" borderId="75" xfId="0" applyNumberFormat="1" applyFont="1" applyBorder="1" applyAlignment="1" applyProtection="1">
      <alignment horizontal="center" vertical="top"/>
      <protection locked="0"/>
    </xf>
    <xf numFmtId="0" fontId="5" fillId="0" borderId="75" xfId="0" applyFont="1" applyBorder="1" applyAlignment="1">
      <alignment horizontal="left" vertical="center"/>
    </xf>
    <xf numFmtId="0" fontId="0" fillId="0" borderId="75" xfId="0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34" xfId="0" applyFont="1" applyBorder="1" applyAlignment="1">
      <alignment horizontal="center" vertical="top"/>
    </xf>
    <xf numFmtId="0" fontId="3" fillId="0" borderId="2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165" fontId="5" fillId="0" borderId="6" xfId="0" applyNumberFormat="1" applyFont="1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44" fontId="3" fillId="0" borderId="93" xfId="3" applyFont="1" applyFill="1" applyBorder="1" applyAlignment="1">
      <alignment horizontal="center"/>
    </xf>
    <xf numFmtId="44" fontId="3" fillId="0" borderId="94" xfId="3" applyFont="1" applyFill="1" applyBorder="1" applyAlignment="1">
      <alignment horizontal="center"/>
    </xf>
    <xf numFmtId="0" fontId="3" fillId="0" borderId="93" xfId="0" applyFont="1" applyBorder="1" applyAlignment="1">
      <alignment horizontal="center"/>
    </xf>
    <xf numFmtId="0" fontId="3" fillId="0" borderId="94" xfId="0" applyFont="1" applyBorder="1" applyAlignment="1">
      <alignment horizontal="center"/>
    </xf>
    <xf numFmtId="0" fontId="63" fillId="10" borderId="38" xfId="0" applyFont="1" applyFill="1" applyBorder="1" applyAlignment="1">
      <alignment horizontal="center" vertical="center"/>
    </xf>
    <xf numFmtId="0" fontId="63" fillId="10" borderId="40" xfId="0" applyFont="1" applyFill="1" applyBorder="1" applyAlignment="1">
      <alignment horizontal="center" vertical="center"/>
    </xf>
    <xf numFmtId="0" fontId="63" fillId="10" borderId="13" xfId="0" applyFont="1" applyFill="1" applyBorder="1" applyAlignment="1">
      <alignment horizontal="center" vertical="center"/>
    </xf>
    <xf numFmtId="0" fontId="63" fillId="10" borderId="44" xfId="0" applyFont="1" applyFill="1" applyBorder="1" applyAlignment="1">
      <alignment horizontal="center" vertical="center"/>
    </xf>
    <xf numFmtId="0" fontId="65" fillId="10" borderId="49" xfId="0" applyFont="1" applyFill="1" applyBorder="1" applyAlignment="1">
      <alignment horizontal="center" vertical="center"/>
    </xf>
    <xf numFmtId="0" fontId="65" fillId="10" borderId="50" xfId="0" applyFont="1" applyFill="1" applyBorder="1" applyAlignment="1">
      <alignment horizontal="center" vertical="center"/>
    </xf>
    <xf numFmtId="0" fontId="83" fillId="0" borderId="49" xfId="0" applyFont="1" applyBorder="1" applyAlignment="1">
      <alignment horizontal="center" vertical="center"/>
    </xf>
    <xf numFmtId="0" fontId="83" fillId="0" borderId="51" xfId="0" applyFont="1" applyBorder="1" applyAlignment="1">
      <alignment horizontal="center" vertical="center"/>
    </xf>
    <xf numFmtId="0" fontId="83" fillId="0" borderId="50" xfId="0" applyFont="1" applyBorder="1" applyAlignment="1">
      <alignment horizontal="center" vertical="center"/>
    </xf>
    <xf numFmtId="0" fontId="54" fillId="0" borderId="5" xfId="0" applyFont="1" applyBorder="1" applyAlignment="1">
      <alignment horizontal="center" vertical="center"/>
    </xf>
    <xf numFmtId="0" fontId="54" fillId="0" borderId="10" xfId="0" applyFont="1" applyBorder="1" applyAlignment="1">
      <alignment horizontal="center" vertical="center"/>
    </xf>
    <xf numFmtId="170" fontId="54" fillId="0" borderId="6" xfId="0" applyNumberFormat="1" applyFont="1" applyBorder="1" applyAlignment="1">
      <alignment horizontal="left" vertical="center"/>
    </xf>
    <xf numFmtId="0" fontId="54" fillId="0" borderId="49" xfId="0" applyFont="1" applyBorder="1" applyAlignment="1">
      <alignment horizontal="center" vertical="center"/>
    </xf>
    <xf numFmtId="0" fontId="54" fillId="0" borderId="51" xfId="0" applyFont="1" applyBorder="1" applyAlignment="1">
      <alignment horizontal="center" vertical="center"/>
    </xf>
    <xf numFmtId="0" fontId="63" fillId="10" borderId="102" xfId="0" applyFont="1" applyFill="1" applyBorder="1" applyAlignment="1">
      <alignment horizontal="center" vertical="center"/>
    </xf>
    <xf numFmtId="0" fontId="63" fillId="10" borderId="101" xfId="0" applyFont="1" applyFill="1" applyBorder="1" applyAlignment="1">
      <alignment horizontal="center" vertical="center"/>
    </xf>
    <xf numFmtId="16" fontId="87" fillId="0" borderId="100" xfId="0" applyNumberFormat="1" applyFont="1" applyBorder="1" applyAlignment="1">
      <alignment horizontal="center" vertical="center"/>
    </xf>
    <xf numFmtId="0" fontId="87" fillId="0" borderId="100" xfId="0" applyFont="1" applyBorder="1" applyAlignment="1">
      <alignment horizontal="center" vertical="center"/>
    </xf>
    <xf numFmtId="14" fontId="0" fillId="0" borderId="49" xfId="0" applyNumberFormat="1" applyBorder="1" applyAlignment="1">
      <alignment horizontal="center"/>
    </xf>
    <xf numFmtId="14" fontId="0" fillId="0" borderId="51" xfId="0" applyNumberFormat="1" applyBorder="1" applyAlignment="1">
      <alignment horizontal="center"/>
    </xf>
    <xf numFmtId="14" fontId="0" fillId="0" borderId="50" xfId="0" applyNumberFormat="1" applyBorder="1" applyAlignment="1">
      <alignment horizontal="center"/>
    </xf>
    <xf numFmtId="0" fontId="5" fillId="20" borderId="42" xfId="0" applyFont="1" applyFill="1" applyBorder="1" applyAlignment="1">
      <alignment horizontal="center"/>
    </xf>
    <xf numFmtId="0" fontId="5" fillId="20" borderId="10" xfId="0" applyFont="1" applyFill="1" applyBorder="1" applyAlignment="1">
      <alignment horizontal="center"/>
    </xf>
    <xf numFmtId="0" fontId="5" fillId="20" borderId="31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63" fillId="0" borderId="23" xfId="0" applyFont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63" fillId="0" borderId="3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3" fillId="20" borderId="42" xfId="0" applyFont="1" applyFill="1" applyBorder="1" applyAlignment="1">
      <alignment horizontal="center" vertical="center"/>
    </xf>
    <xf numFmtId="0" fontId="3" fillId="20" borderId="31" xfId="0" applyFont="1" applyFill="1" applyBorder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3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170" fontId="60" fillId="0" borderId="0" xfId="0" applyNumberFormat="1" applyFont="1" applyAlignment="1">
      <alignment horizontal="left"/>
    </xf>
    <xf numFmtId="170" fontId="60" fillId="0" borderId="0" xfId="0" applyNumberFormat="1" applyFont="1" applyAlignment="1">
      <alignment horizontal="left" vertical="center"/>
    </xf>
    <xf numFmtId="0" fontId="54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7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17" xfId="0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0" fontId="5" fillId="0" borderId="5" xfId="0" applyNumberFormat="1" applyFont="1" applyBorder="1" applyAlignment="1">
      <alignment horizontal="center" vertical="center"/>
    </xf>
    <xf numFmtId="170" fontId="5" fillId="0" borderId="10" xfId="0" applyNumberFormat="1" applyFont="1" applyBorder="1" applyAlignment="1">
      <alignment horizontal="center" vertical="center"/>
    </xf>
    <xf numFmtId="170" fontId="5" fillId="0" borderId="31" xfId="0" applyNumberFormat="1" applyFont="1" applyBorder="1" applyAlignment="1">
      <alignment horizontal="center" vertical="center"/>
    </xf>
    <xf numFmtId="0" fontId="54" fillId="0" borderId="14" xfId="0" applyFont="1" applyBorder="1" applyAlignment="1">
      <alignment horizontal="center"/>
    </xf>
    <xf numFmtId="0" fontId="54" fillId="0" borderId="0" xfId="0" applyFont="1" applyAlignment="1">
      <alignment horizontal="center"/>
    </xf>
    <xf numFmtId="0" fontId="54" fillId="0" borderId="1" xfId="0" applyFont="1" applyBorder="1" applyAlignment="1">
      <alignment horizontal="center"/>
    </xf>
    <xf numFmtId="170" fontId="5" fillId="0" borderId="23" xfId="0" applyNumberFormat="1" applyFont="1" applyBorder="1" applyAlignment="1">
      <alignment horizontal="center" vertical="center"/>
    </xf>
    <xf numFmtId="170" fontId="5" fillId="0" borderId="1" xfId="0" applyNumberFormat="1" applyFont="1" applyBorder="1" applyAlignment="1">
      <alignment horizontal="center" vertical="center"/>
    </xf>
    <xf numFmtId="170" fontId="5" fillId="0" borderId="32" xfId="0" applyNumberFormat="1" applyFont="1" applyBorder="1" applyAlignment="1">
      <alignment horizontal="center" vertical="center"/>
    </xf>
    <xf numFmtId="170" fontId="54" fillId="0" borderId="5" xfId="0" applyNumberFormat="1" applyFont="1" applyBorder="1" applyAlignment="1">
      <alignment horizontal="left" vertical="center"/>
    </xf>
    <xf numFmtId="170" fontId="54" fillId="0" borderId="10" xfId="0" applyNumberFormat="1" applyFont="1" applyBorder="1" applyAlignment="1">
      <alignment horizontal="left" vertical="center"/>
    </xf>
    <xf numFmtId="170" fontId="54" fillId="0" borderId="31" xfId="0" applyNumberFormat="1" applyFont="1" applyBorder="1" applyAlignment="1">
      <alignment horizontal="left" vertical="center"/>
    </xf>
    <xf numFmtId="170" fontId="60" fillId="0" borderId="41" xfId="0" applyNumberFormat="1" applyFont="1" applyBorder="1" applyAlignment="1">
      <alignment horizontal="left"/>
    </xf>
    <xf numFmtId="0" fontId="3" fillId="0" borderId="76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5" fillId="0" borderId="10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5" fontId="5" fillId="0" borderId="23" xfId="0" applyNumberFormat="1" applyFont="1" applyBorder="1" applyAlignment="1">
      <alignment horizontal="left" vertical="center"/>
    </xf>
    <xf numFmtId="165" fontId="5" fillId="0" borderId="1" xfId="0" applyNumberFormat="1" applyFont="1" applyBorder="1" applyAlignment="1">
      <alignment horizontal="left" vertical="center"/>
    </xf>
    <xf numFmtId="165" fontId="5" fillId="0" borderId="32" xfId="0" applyNumberFormat="1" applyFont="1" applyBorder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37" xfId="0" applyFont="1" applyBorder="1" applyAlignment="1">
      <alignment vertical="center" wrapText="1"/>
    </xf>
    <xf numFmtId="0" fontId="41" fillId="0" borderId="0" xfId="0" applyFont="1" applyAlignment="1">
      <alignment wrapText="1"/>
    </xf>
    <xf numFmtId="0" fontId="29" fillId="0" borderId="39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</cellXfs>
  <cellStyles count="7">
    <cellStyle name="Comma" xfId="6" builtinId="3"/>
    <cellStyle name="Currency" xfId="3" builtinId="4"/>
    <cellStyle name="Currency 2" xfId="1" xr:uid="{00000000-0005-0000-0000-000000000000}"/>
    <cellStyle name="Hyperlink" xfId="5" builtinId="8"/>
    <cellStyle name="Normal" xfId="0" builtinId="0"/>
    <cellStyle name="Percent" xfId="4" builtinId="5"/>
    <cellStyle name="Percent 2" xfId="2" xr:uid="{00000000-0005-0000-0000-000002000000}"/>
  </cellStyles>
  <dxfs count="65">
    <dxf>
      <fill>
        <patternFill>
          <bgColor rgb="FFE690DC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rgb="FFE690DC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rgb="FFE690DC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E690DC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rgb="FFE690DC"/>
        </patternFill>
      </fill>
    </dxf>
    <dxf>
      <fill>
        <patternFill>
          <bgColor theme="8"/>
        </patternFill>
      </fill>
    </dxf>
    <dxf>
      <fill>
        <patternFill>
          <bgColor rgb="FFE690DC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E690DC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ont>
        <strike val="0"/>
        <color theme="0"/>
      </font>
      <fill>
        <patternFill>
          <bgColor theme="1"/>
        </patternFill>
      </fill>
    </dxf>
    <dxf>
      <font>
        <strike val="0"/>
        <color theme="0"/>
      </font>
      <fill>
        <patternFill>
          <bgColor theme="1"/>
        </patternFill>
      </fill>
    </dxf>
    <dxf>
      <font>
        <strike val="0"/>
        <color theme="0"/>
      </font>
      <fill>
        <patternFill>
          <bgColor theme="1"/>
        </patternFill>
      </fill>
    </dxf>
    <dxf>
      <font>
        <strike val="0"/>
        <color theme="0"/>
      </font>
      <fill>
        <patternFill>
          <bgColor theme="1"/>
        </patternFill>
      </fill>
    </dxf>
    <dxf>
      <font>
        <strike val="0"/>
        <color theme="0"/>
      </font>
      <fill>
        <patternFill>
          <bgColor theme="1"/>
        </patternFill>
      </fill>
    </dxf>
    <dxf>
      <font>
        <strike val="0"/>
        <color theme="0"/>
      </font>
      <fill>
        <patternFill>
          <bgColor theme="1"/>
        </patternFill>
      </fill>
    </dxf>
    <dxf>
      <fill>
        <patternFill>
          <bgColor rgb="FFE690DC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E690DC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E690DC"/>
        </patternFill>
      </fill>
    </dxf>
  </dxfs>
  <tableStyles count="0" defaultTableStyle="TableStyleMedium2" defaultPivotStyle="PivotStyleLight16"/>
  <colors>
    <mruColors>
      <color rgb="FFFF66FF"/>
      <color rgb="FFE690DC"/>
      <color rgb="FF30D3E4"/>
      <color rgb="FF77E3A8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webextension" Target="../webextensions/webextension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793710</xdr:colOff>
      <xdr:row>0</xdr:row>
      <xdr:rowOff>20411</xdr:rowOff>
    </xdr:from>
    <xdr:to>
      <xdr:col>2</xdr:col>
      <xdr:colOff>364457</xdr:colOff>
      <xdr:row>2</xdr:row>
      <xdr:rowOff>122464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E0D1F6-B5D1-A426-1E37-5626464AA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3710" y="20411"/>
          <a:ext cx="1781908" cy="724353"/>
        </a:xfrm>
        <a:prstGeom prst="rect">
          <a:avLst/>
        </a:prstGeom>
        <a:noFill/>
      </xdr:spPr>
    </xdr:pic>
    <xdr:clientData/>
  </xdr:twoCellAnchor>
  <xdr:twoCellAnchor>
    <xdr:from>
      <xdr:col>7</xdr:col>
      <xdr:colOff>263071</xdr:colOff>
      <xdr:row>0</xdr:row>
      <xdr:rowOff>120196</xdr:rowOff>
    </xdr:from>
    <xdr:to>
      <xdr:col>8</xdr:col>
      <xdr:colOff>839107</xdr:colOff>
      <xdr:row>8</xdr:row>
      <xdr:rowOff>206375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F2A5088C-314E-5221-2BC7-CBD59109406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F2A5088C-314E-5221-2BC7-CBD59109406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2</xdr:row>
      <xdr:rowOff>101600</xdr:rowOff>
    </xdr:from>
    <xdr:to>
      <xdr:col>1</xdr:col>
      <xdr:colOff>542925</xdr:colOff>
      <xdr:row>4</xdr:row>
      <xdr:rowOff>333341</xdr:rowOff>
    </xdr:to>
    <xdr:pic>
      <xdr:nvPicPr>
        <xdr:cNvPr id="2" name="Picture 1" descr="A black and white logo&#10;&#10;AI-generated content may be incorrect.">
          <a:extLst>
            <a:ext uri="{FF2B5EF4-FFF2-40B4-BE49-F238E27FC236}">
              <a16:creationId xmlns:a16="http://schemas.microsoft.com/office/drawing/2014/main" id="{79FCCB6B-7608-46C6-AD1C-F45CC6F00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863600"/>
          <a:ext cx="3067050" cy="990566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25</xdr:row>
      <xdr:rowOff>121920</xdr:rowOff>
    </xdr:from>
    <xdr:ext cx="3557488" cy="68474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6BC47-EE48-4504-8178-6D85C5A36B40}"/>
            </a:ext>
          </a:extLst>
        </xdr:cNvPr>
        <xdr:cNvSpPr txBox="1"/>
      </xdr:nvSpPr>
      <xdr:spPr>
        <a:xfrm>
          <a:off x="0" y="7519670"/>
          <a:ext cx="3557488" cy="6847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400" b="1"/>
            <a:t>Estimated time for installation</a:t>
          </a:r>
          <a:r>
            <a:rPr lang="en-NZ" sz="1400" b="1" baseline="0"/>
            <a:t> = </a:t>
          </a:r>
          <a:endParaRPr lang="en-NZ" sz="14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33</xdr:row>
      <xdr:rowOff>28576</xdr:rowOff>
    </xdr:from>
    <xdr:to>
      <xdr:col>13</xdr:col>
      <xdr:colOff>514349</xdr:colOff>
      <xdr:row>45</xdr:row>
      <xdr:rowOff>152400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DA562709-5E0D-4BDB-9EB0-2426AAA7D577}"/>
            </a:ext>
          </a:extLst>
        </xdr:cNvPr>
        <xdr:cNvSpPr txBox="1"/>
      </xdr:nvSpPr>
      <xdr:spPr>
        <a:xfrm>
          <a:off x="47624" y="8061326"/>
          <a:ext cx="6156325" cy="2193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1000"/>
            </a:lnSpc>
          </a:pPr>
          <a:r>
            <a:rPr lang="en-NZ" sz="900"/>
            <a:t>NOTES: </a:t>
          </a:r>
        </a:p>
        <a:p>
          <a:pPr>
            <a:lnSpc>
              <a:spcPts val="1000"/>
            </a:lnSpc>
          </a:pPr>
          <a:endParaRPr lang="en-NZ" sz="900"/>
        </a:p>
        <a:p>
          <a:endParaRPr lang="en-NZ" sz="900"/>
        </a:p>
        <a:p>
          <a:pPr>
            <a:lnSpc>
              <a:spcPts val="1000"/>
            </a:lnSpc>
          </a:pPr>
          <a:r>
            <a:rPr lang="en-NZ" sz="900"/>
            <a:t>Top Panels:</a:t>
          </a:r>
        </a:p>
        <a:p>
          <a:endParaRPr lang="en-NZ" sz="900"/>
        </a:p>
        <a:p>
          <a:pPr>
            <a:lnSpc>
              <a:spcPts val="1000"/>
            </a:lnSpc>
          </a:pPr>
          <a:r>
            <a:rPr lang="en-NZ" sz="900"/>
            <a:t>Back Supports:</a:t>
          </a:r>
        </a:p>
        <a:p>
          <a:endParaRPr lang="en-NZ" sz="900"/>
        </a:p>
        <a:p>
          <a:r>
            <a:rPr lang="en-NZ" sz="900"/>
            <a:t>Shelves</a:t>
          </a:r>
          <a:r>
            <a:rPr lang="en-NZ" sz="900" b="1"/>
            <a:t>:</a:t>
          </a:r>
          <a:r>
            <a:rPr lang="en-NZ" sz="900" b="1" baseline="0"/>
            <a:t>  </a:t>
          </a:r>
          <a:endParaRPr lang="en-NZ" sz="9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68407</xdr:colOff>
      <xdr:row>32</xdr:row>
      <xdr:rowOff>0</xdr:rowOff>
    </xdr:from>
    <xdr:to>
      <xdr:col>11</xdr:col>
      <xdr:colOff>387927</xdr:colOff>
      <xdr:row>45</xdr:row>
      <xdr:rowOff>271317</xdr:rowOff>
    </xdr:to>
    <xdr:sp macro="" textlink="">
      <xdr:nvSpPr>
        <xdr:cNvPr id="8" name="TextBox 5">
          <a:extLst>
            <a:ext uri="{FF2B5EF4-FFF2-40B4-BE49-F238E27FC236}">
              <a16:creationId xmlns:a16="http://schemas.microsoft.com/office/drawing/2014/main" id="{8A209003-0742-4D19-BC71-EB7FAE85F9ED}"/>
            </a:ext>
          </a:extLst>
        </xdr:cNvPr>
        <xdr:cNvSpPr txBox="1"/>
      </xdr:nvSpPr>
      <xdr:spPr>
        <a:xfrm>
          <a:off x="5096452" y="7874000"/>
          <a:ext cx="2518930" cy="3573317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1000"/>
            </a:lnSpc>
          </a:pPr>
          <a:r>
            <a:rPr lang="en-NZ" sz="1200" b="1"/>
            <a:t>NOTES:     </a:t>
          </a:r>
        </a:p>
        <a:p>
          <a:endParaRPr lang="en-NZ" sz="900"/>
        </a:p>
        <a:p>
          <a:endParaRPr lang="en-NZ" sz="900"/>
        </a:p>
        <a:p>
          <a:endParaRPr lang="en-NZ" sz="900"/>
        </a:p>
        <a:p>
          <a:pPr marL="0" marR="0" lvl="0" indent="0" defTabSz="914400" eaLnBrk="1" fontAlgn="auto" latinLnBrk="0" hangingPunct="1">
            <a:lnSpc>
              <a:spcPts val="1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NZ" sz="9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38</xdr:row>
      <xdr:rowOff>171450</xdr:rowOff>
    </xdr:from>
    <xdr:ext cx="6360290" cy="11176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159DCFE-5CB3-43E8-912C-02349621266B}"/>
            </a:ext>
          </a:extLst>
        </xdr:cNvPr>
        <xdr:cNvSpPr txBox="1"/>
      </xdr:nvSpPr>
      <xdr:spPr>
        <a:xfrm>
          <a:off x="0" y="8115300"/>
          <a:ext cx="6360290" cy="1117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900"/>
            <a:t>NOTES: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24</xdr:row>
      <xdr:rowOff>9525</xdr:rowOff>
    </xdr:from>
    <xdr:to>
      <xdr:col>8</xdr:col>
      <xdr:colOff>352425</xdr:colOff>
      <xdr:row>26</xdr:row>
      <xdr:rowOff>171450</xdr:rowOff>
    </xdr:to>
    <xdr:sp macro="" textlink="">
      <xdr:nvSpPr>
        <xdr:cNvPr id="16" name="TextBox 7">
          <a:extLst>
            <a:ext uri="{FF2B5EF4-FFF2-40B4-BE49-F238E27FC236}">
              <a16:creationId xmlns:a16="http://schemas.microsoft.com/office/drawing/2014/main" id="{AC4AA086-7764-EF30-DEC4-6D2A4FC763AC}"/>
            </a:ext>
          </a:extLst>
        </xdr:cNvPr>
        <xdr:cNvSpPr txBox="1"/>
      </xdr:nvSpPr>
      <xdr:spPr>
        <a:xfrm>
          <a:off x="152400" y="6381750"/>
          <a:ext cx="5524500" cy="7810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100"/>
            <a:t>NOTES: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4.xml"/><Relationship Id="rId2" Type="http://schemas.microsoft.com/office/2011/relationships/webextension" Target="webextension3.xml"/><Relationship Id="rId1" Type="http://schemas.microsoft.com/office/2011/relationships/webextension" Target="webextension2.xml"/><Relationship Id="rId4" Type="http://schemas.microsoft.com/office/2011/relationships/webextension" Target="webextension5.xml"/></Relationship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  <wetp:taskpane dockstate="right" visibility="0" width="525" row="4">
    <wetp:webextensionref xmlns:r="http://schemas.openxmlformats.org/officeDocument/2006/relationships" r:id="rId2"/>
  </wetp:taskpane>
  <wetp:taskpane dockstate="right" visibility="0" width="525" row="3">
    <wetp:webextensionref xmlns:r="http://schemas.openxmlformats.org/officeDocument/2006/relationships" r:id="rId3"/>
  </wetp:taskpane>
  <wetp:taskpane dockstate="right" visibility="0" width="525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F2A5088C-314E-5221-2BC7-CBD591094061}">
  <we:reference id="wa102957665" version="1.3.0.0" store="en-US" storeType="OMEX"/>
  <we:alternateReferences>
    <we:reference id="WA102957665" version="1.3.0.0" store="WA102957665" storeType="OMEX"/>
  </we:alternateReferences>
  <we:properties/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8E5BFF75-2032-4F00-86A2-ECE73822CAAC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3FAB1456-B0FD-480C-A404-5E30F002D7D7}">
  <we:reference id="wa103992993" version="1.2.0.0" store="en-US" storeType="OMEX"/>
  <we:alternateReferences>
    <we:reference id="WA103992993" version="1.2.0.0" store="WA103992993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BEE7FCC5-77DB-4939-8DC2-B6E6F598CC9A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0843C6F8-DC50-4677-9350-7D341DDE73B2}">
  <we:reference id="wa200005669" version="2.0.0.0" store="en-US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simplywardrobes.co.nz/collections/i-robe-1/products/i-robe-number-2" TargetMode="External"/><Relationship Id="rId18" Type="http://schemas.openxmlformats.org/officeDocument/2006/relationships/hyperlink" Target="https://simplywardrobes.co.nz/collections/i-robe-1/products/i-robe-number-3b6d" TargetMode="External"/><Relationship Id="rId26" Type="http://schemas.openxmlformats.org/officeDocument/2006/relationships/hyperlink" Target="https://simplywardrobes.co.nz/collections/i-robe-1/products/i-robe-number-5-6d" TargetMode="External"/><Relationship Id="rId39" Type="http://schemas.openxmlformats.org/officeDocument/2006/relationships/hyperlink" Target="https://simplywardrobes.co.nz/collections/i-robe-1/products/i-robe-number-7a" TargetMode="External"/><Relationship Id="rId21" Type="http://schemas.openxmlformats.org/officeDocument/2006/relationships/hyperlink" Target="https://simplywardrobes.co.nz/collections/i-robe-1/products/i-robe-number-4" TargetMode="External"/><Relationship Id="rId34" Type="http://schemas.openxmlformats.org/officeDocument/2006/relationships/hyperlink" Target="https://simplywardrobes.co.nz/collections/i-robe-1/products/i-robe-number-6a" TargetMode="External"/><Relationship Id="rId42" Type="http://schemas.openxmlformats.org/officeDocument/2006/relationships/hyperlink" Target="https://simplywardrobes.co.nz/collections/i-robe-1/products/i-robe-number-8" TargetMode="External"/><Relationship Id="rId47" Type="http://schemas.openxmlformats.org/officeDocument/2006/relationships/hyperlink" Target="https://simplywardrobes.co.nz/collections/i-robe-flexi/products/i-robe-flexi-reach-in" TargetMode="External"/><Relationship Id="rId50" Type="http://schemas.openxmlformats.org/officeDocument/2006/relationships/hyperlink" Target="https://simplywardrobes.co.nz/collections/i-robe-flexi/products/i-robe-flexi-reach-in" TargetMode="External"/><Relationship Id="rId7" Type="http://schemas.openxmlformats.org/officeDocument/2006/relationships/hyperlink" Target="https://simplywardrobes.co.nz/collections/i-robe-walk-in-1/products/i-robe-walk-in-wardrobe-l-shape-copy-3" TargetMode="External"/><Relationship Id="rId2" Type="http://schemas.openxmlformats.org/officeDocument/2006/relationships/hyperlink" Target="https://simplywardrobes.co.nz/collections/i-robe-walk-in-1/products/4-and-3-l-shape-walk-in-wardrobe-combination" TargetMode="External"/><Relationship Id="rId16" Type="http://schemas.openxmlformats.org/officeDocument/2006/relationships/hyperlink" Target="https://simplywardrobes.co.nz/collections/i-robe-1/products/i-robe-number-3a" TargetMode="External"/><Relationship Id="rId29" Type="http://schemas.openxmlformats.org/officeDocument/2006/relationships/hyperlink" Target="https://simplywardrobes.co.nz/collections/i-robe-1/products/i-robe-5b" TargetMode="External"/><Relationship Id="rId11" Type="http://schemas.openxmlformats.org/officeDocument/2006/relationships/hyperlink" Target="https://simplywardrobes.co.nz/collections/i-robe-1/products/i-robe-number-1" TargetMode="External"/><Relationship Id="rId24" Type="http://schemas.openxmlformats.org/officeDocument/2006/relationships/hyperlink" Target="https://simplywardrobes.co.nz/collections/i-robe-1/products/i-robe-number-4c" TargetMode="External"/><Relationship Id="rId32" Type="http://schemas.openxmlformats.org/officeDocument/2006/relationships/hyperlink" Target="https://simplywardrobes.co.nz/collections/i-robe-1/products/i-robe-number-5c6d" TargetMode="External"/><Relationship Id="rId37" Type="http://schemas.openxmlformats.org/officeDocument/2006/relationships/hyperlink" Target="https://simplywardrobes.co.nz/collections/i-robe-1/products/i-robe-number-6d" TargetMode="External"/><Relationship Id="rId40" Type="http://schemas.openxmlformats.org/officeDocument/2006/relationships/hyperlink" Target="https://simplywardrobes.co.nz/collections/i-robe-1/products/i-robe-number-7a6d" TargetMode="External"/><Relationship Id="rId45" Type="http://schemas.openxmlformats.org/officeDocument/2006/relationships/hyperlink" Target="https://simplywardrobes.co.nz/collections/i-robe-1/products/i-robe-number-8c" TargetMode="External"/><Relationship Id="rId5" Type="http://schemas.openxmlformats.org/officeDocument/2006/relationships/hyperlink" Target="https://simplywardrobes.co.nz/collections/i-robe-walk-in-1/products/5-and-1-and-5-u-shape-walk-in-wardrobe-combination-1" TargetMode="External"/><Relationship Id="rId15" Type="http://schemas.openxmlformats.org/officeDocument/2006/relationships/hyperlink" Target="https://simplywardrobes.co.nz/collections/i-robe-1/products/i-robe-number-3" TargetMode="External"/><Relationship Id="rId23" Type="http://schemas.openxmlformats.org/officeDocument/2006/relationships/hyperlink" Target="https://simplywardrobes.co.nz/collections/i-robe-1/products/i-robe-number-4b" TargetMode="External"/><Relationship Id="rId28" Type="http://schemas.openxmlformats.org/officeDocument/2006/relationships/hyperlink" Target="https://simplywardrobes.co.nz/collections/i-robe-1/products/i-robe-number-5a6d" TargetMode="External"/><Relationship Id="rId36" Type="http://schemas.openxmlformats.org/officeDocument/2006/relationships/hyperlink" Target="https://simplywardrobes.co.nz/collections/i-robe-1/products/i-robe-number-6c" TargetMode="External"/><Relationship Id="rId49" Type="http://schemas.openxmlformats.org/officeDocument/2006/relationships/hyperlink" Target="https://simplywardrobes.co.nz/collections/i-robe-flexi/products/i-robe-flexi-reach-in" TargetMode="External"/><Relationship Id="rId10" Type="http://schemas.openxmlformats.org/officeDocument/2006/relationships/hyperlink" Target="https://simplywardrobes.co.nz/collections/i-robe-walk-in-1/products/i-robe-walk-in-wardrobe-u-shape-copy" TargetMode="External"/><Relationship Id="rId19" Type="http://schemas.openxmlformats.org/officeDocument/2006/relationships/hyperlink" Target="https://simplywardrobes.co.nz/collections/i-robe-1/products/i-robe-number-3c" TargetMode="External"/><Relationship Id="rId31" Type="http://schemas.openxmlformats.org/officeDocument/2006/relationships/hyperlink" Target="https://simplywardrobes.co.nz/collections/i-robe-1/products/i-robe-number-5c" TargetMode="External"/><Relationship Id="rId44" Type="http://schemas.openxmlformats.org/officeDocument/2006/relationships/hyperlink" Target="https://simplywardrobes.co.nz/collections/i-robe-1/products/i-robe-number-8b" TargetMode="External"/><Relationship Id="rId52" Type="http://schemas.openxmlformats.org/officeDocument/2006/relationships/printerSettings" Target="../printerSettings/printerSettings4.bin"/><Relationship Id="rId4" Type="http://schemas.openxmlformats.org/officeDocument/2006/relationships/hyperlink" Target="https://simplywardrobes.co.nz/collections/i-robe-walk-in-1/products/6a-and-5-l-shape-walk-in-wardrobe-combination" TargetMode="External"/><Relationship Id="rId9" Type="http://schemas.openxmlformats.org/officeDocument/2006/relationships/hyperlink" Target="https://simplywardrobes.co.nz/collections/i-robe-walk-in-1/products/i-robe-walk-in-wardrobe-l-shape-copy-2" TargetMode="External"/><Relationship Id="rId14" Type="http://schemas.openxmlformats.org/officeDocument/2006/relationships/hyperlink" Target="https://simplywardrobes.co.nz/collections/i-robe-1/products/i-robe-number-2a" TargetMode="External"/><Relationship Id="rId22" Type="http://schemas.openxmlformats.org/officeDocument/2006/relationships/hyperlink" Target="https://simplywardrobes.co.nz/collections/i-robe-1/products/i-robe-number-4a" TargetMode="External"/><Relationship Id="rId27" Type="http://schemas.openxmlformats.org/officeDocument/2006/relationships/hyperlink" Target="https://simplywardrobes.co.nz/collections/i-robe-1/products/i-robe-number-5a" TargetMode="External"/><Relationship Id="rId30" Type="http://schemas.openxmlformats.org/officeDocument/2006/relationships/hyperlink" Target="https://simplywardrobes.co.nz/collections/i-robe-1/products/i-robe-number-5b6d" TargetMode="External"/><Relationship Id="rId35" Type="http://schemas.openxmlformats.org/officeDocument/2006/relationships/hyperlink" Target="https://simplywardrobes.co.nz/collections/i-robe-1/products/i-robe-number-6b" TargetMode="External"/><Relationship Id="rId43" Type="http://schemas.openxmlformats.org/officeDocument/2006/relationships/hyperlink" Target="https://simplywardrobes.co.nz/collections/i-robe-1/products/i-robe-wardrobe-8a" TargetMode="External"/><Relationship Id="rId48" Type="http://schemas.openxmlformats.org/officeDocument/2006/relationships/hyperlink" Target="https://simplywardrobes.co.nz/collections/i-robe-flexi/products/i-robe-flexi-reach-in" TargetMode="External"/><Relationship Id="rId8" Type="http://schemas.openxmlformats.org/officeDocument/2006/relationships/hyperlink" Target="https://simplywardrobes.co.nz/collections/i-robe-walk-in-1/products/5-and-1-and-5-u-shape-walk-in-wardrobe-combination" TargetMode="External"/><Relationship Id="rId51" Type="http://schemas.openxmlformats.org/officeDocument/2006/relationships/hyperlink" Target="https://simplywardrobes.co.nz/collections/i-robe-flexi/products/i-robe-flexi-reach-in" TargetMode="External"/><Relationship Id="rId3" Type="http://schemas.openxmlformats.org/officeDocument/2006/relationships/hyperlink" Target="https://simplywardrobes.co.nz/collections/i-robe-walk-in-1/products/i-robe-walk-in-wardrobe-l-shape-copy-1" TargetMode="External"/><Relationship Id="rId12" Type="http://schemas.openxmlformats.org/officeDocument/2006/relationships/hyperlink" Target="https://simplywardrobes.co.nz/collections/i-robe-1/products/i-robe-number-1a" TargetMode="External"/><Relationship Id="rId17" Type="http://schemas.openxmlformats.org/officeDocument/2006/relationships/hyperlink" Target="https://simplywardrobes.co.nz/collections/i-robe-1/products/i-robe-number-3b" TargetMode="External"/><Relationship Id="rId25" Type="http://schemas.openxmlformats.org/officeDocument/2006/relationships/hyperlink" Target="https://simplywardrobes.co.nz/collections/i-robe-1/products/i-robe-number-5" TargetMode="External"/><Relationship Id="rId33" Type="http://schemas.openxmlformats.org/officeDocument/2006/relationships/hyperlink" Target="https://simplywardrobes.co.nz/collections/i-robe-1/products/i-robe-number-6" TargetMode="External"/><Relationship Id="rId38" Type="http://schemas.openxmlformats.org/officeDocument/2006/relationships/hyperlink" Target="https://simplywardrobes.co.nz/collections/i-robe-1/products/i-robe-number-7" TargetMode="External"/><Relationship Id="rId46" Type="http://schemas.openxmlformats.org/officeDocument/2006/relationships/hyperlink" Target="https://simplywardrobes.co.nz/collections/i-robe-flexi/products/i-robe-flexi-reach-in" TargetMode="External"/><Relationship Id="rId20" Type="http://schemas.openxmlformats.org/officeDocument/2006/relationships/hyperlink" Target="https://simplywardrobes.co.nz/collections/i-robe-1/products/i-robe-number-3c6d" TargetMode="External"/><Relationship Id="rId41" Type="http://schemas.openxmlformats.org/officeDocument/2006/relationships/hyperlink" Target="https://simplywardrobes.co.nz/collections/i-robe-1/products/i-robe-wardrobe-7b" TargetMode="External"/><Relationship Id="rId1" Type="http://schemas.openxmlformats.org/officeDocument/2006/relationships/hyperlink" Target="https://simplywardrobes.co.nz/collections/i-robe-walk-in-1/products/i-robe-walk-in-wardrobe-l-shape-copy" TargetMode="External"/><Relationship Id="rId6" Type="http://schemas.openxmlformats.org/officeDocument/2006/relationships/hyperlink" Target="https://simplywardrobes.co.nz/collections/i-robe-walk-in-1/products/4-and-3-l-shape-walk-in-wardrobe-combination-copy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84CCF-A7DF-4365-A00A-A18EBD3371B7}">
  <sheetPr>
    <pageSetUpPr fitToPage="1"/>
  </sheetPr>
  <dimension ref="A1:Q83"/>
  <sheetViews>
    <sheetView zoomScale="140" zoomScaleNormal="140" workbookViewId="0">
      <selection activeCell="I18" sqref="I18"/>
    </sheetView>
  </sheetViews>
  <sheetFormatPr defaultRowHeight="14.5" x14ac:dyDescent="0.35"/>
  <cols>
    <col min="1" max="1" width="21.1796875" customWidth="1"/>
    <col min="2" max="2" width="12" customWidth="1"/>
    <col min="3" max="3" width="11.54296875" customWidth="1"/>
    <col min="4" max="4" width="14" customWidth="1"/>
    <col min="5" max="5" width="24.81640625" customWidth="1"/>
    <col min="6" max="6" width="21.1796875" customWidth="1"/>
    <col min="8" max="8" width="24.453125" customWidth="1"/>
    <col min="9" max="9" width="13.81640625" customWidth="1"/>
    <col min="10" max="10" width="33.453125" customWidth="1"/>
    <col min="14" max="14" width="9.54296875" customWidth="1"/>
  </cols>
  <sheetData>
    <row r="1" spans="1:16" ht="33.65" customHeight="1" x14ac:dyDescent="0.35">
      <c r="D1" s="838" t="e" vm="1">
        <f ca="1">_xlfn.IMAGE("https://api.qrserver.com/v1/create-qr-code/?size=150x150&amp;data=" &amp; _xlfn.ENCODEURL(J10), "QR", 1)</f>
        <v>#VALUE!</v>
      </c>
      <c r="F1" s="826" t="s">
        <v>478</v>
      </c>
      <c r="M1" s="505" t="s">
        <v>478</v>
      </c>
      <c r="N1" s="505" t="s">
        <v>481</v>
      </c>
      <c r="O1" s="505" t="s">
        <v>133</v>
      </c>
      <c r="P1" s="505" t="s">
        <v>630</v>
      </c>
    </row>
    <row r="2" spans="1:16" ht="15" thickBot="1" x14ac:dyDescent="0.4">
      <c r="D2" s="839"/>
      <c r="F2" s="827"/>
      <c r="M2" s="505" t="s">
        <v>479</v>
      </c>
      <c r="N2" s="505" t="s">
        <v>482</v>
      </c>
      <c r="O2" s="505" t="s">
        <v>135</v>
      </c>
      <c r="P2" s="505" t="s">
        <v>627</v>
      </c>
    </row>
    <row r="3" spans="1:16" ht="14.5" customHeight="1" x14ac:dyDescent="0.35">
      <c r="D3" s="839"/>
      <c r="F3" s="623"/>
      <c r="M3" s="505" t="s">
        <v>480</v>
      </c>
      <c r="N3" s="505" t="s">
        <v>483</v>
      </c>
      <c r="O3" s="505" t="s">
        <v>134</v>
      </c>
      <c r="P3" s="505" t="s">
        <v>628</v>
      </c>
    </row>
    <row r="4" spans="1:16" ht="15" customHeight="1" thickBot="1" x14ac:dyDescent="0.4">
      <c r="D4" s="839"/>
      <c r="E4" s="518"/>
      <c r="F4" s="624"/>
      <c r="M4" s="505"/>
      <c r="N4" s="505" t="s">
        <v>514</v>
      </c>
      <c r="O4" s="505"/>
      <c r="P4" s="505" t="s">
        <v>629</v>
      </c>
    </row>
    <row r="5" spans="1:16" ht="20.149999999999999" customHeight="1" x14ac:dyDescent="0.35">
      <c r="A5" s="740" t="s">
        <v>0</v>
      </c>
      <c r="B5" s="741">
        <f ca="1">TODAY()</f>
        <v>46267</v>
      </c>
      <c r="C5" s="828" t="s">
        <v>492</v>
      </c>
      <c r="D5" s="829"/>
      <c r="E5" s="832" t="s">
        <v>451</v>
      </c>
      <c r="F5" s="834"/>
      <c r="G5" s="152"/>
      <c r="H5" s="152"/>
      <c r="K5" s="152"/>
      <c r="L5" s="152"/>
      <c r="M5" s="505"/>
      <c r="N5" s="505" t="s">
        <v>623</v>
      </c>
      <c r="O5" s="505" t="s">
        <v>497</v>
      </c>
    </row>
    <row r="6" spans="1:16" ht="20.149999999999999" customHeight="1" thickBot="1" x14ac:dyDescent="0.4">
      <c r="A6" s="742" t="s">
        <v>470</v>
      </c>
      <c r="B6" s="743"/>
      <c r="C6" s="840"/>
      <c r="D6" s="841"/>
      <c r="E6" s="833"/>
      <c r="F6" s="835"/>
      <c r="G6" s="152"/>
      <c r="H6" s="152"/>
      <c r="K6" s="152"/>
      <c r="L6" s="152"/>
      <c r="M6" s="505"/>
      <c r="N6" s="505"/>
      <c r="O6" s="505" t="s">
        <v>498</v>
      </c>
    </row>
    <row r="7" spans="1:16" ht="20.149999999999999" customHeight="1" thickBot="1" x14ac:dyDescent="0.4">
      <c r="A7" s="744" t="s">
        <v>626</v>
      </c>
      <c r="B7" s="745"/>
      <c r="C7" s="842"/>
      <c r="D7" s="843"/>
      <c r="E7" s="152"/>
      <c r="F7" s="152"/>
      <c r="G7" s="152"/>
      <c r="H7" s="152"/>
      <c r="I7" s="152"/>
      <c r="J7" s="152"/>
      <c r="K7" s="152"/>
      <c r="L7" s="152"/>
      <c r="M7" s="505"/>
      <c r="N7" s="505"/>
      <c r="O7" s="505" t="s">
        <v>522</v>
      </c>
    </row>
    <row r="8" spans="1:16" ht="20.149999999999999" customHeight="1" thickBot="1" x14ac:dyDescent="0.4">
      <c r="B8" s="647"/>
      <c r="C8" s="648"/>
      <c r="D8" s="648"/>
      <c r="E8" s="152"/>
      <c r="F8" s="152"/>
      <c r="G8" s="152"/>
      <c r="H8" s="152"/>
      <c r="I8" s="152"/>
      <c r="J8" s="152"/>
      <c r="K8" s="152"/>
      <c r="L8" s="152"/>
      <c r="M8" s="505"/>
      <c r="N8" s="505"/>
      <c r="O8" s="505"/>
    </row>
    <row r="9" spans="1:16" ht="20.149999999999999" customHeight="1" thickBot="1" x14ac:dyDescent="0.4">
      <c r="A9" s="593" t="s">
        <v>472</v>
      </c>
      <c r="B9" s="799"/>
      <c r="C9" s="800"/>
      <c r="D9" s="800"/>
      <c r="E9" s="800"/>
      <c r="F9" s="575"/>
      <c r="G9" s="152"/>
      <c r="H9" s="152"/>
      <c r="I9" s="152"/>
      <c r="J9" s="323" t="s">
        <v>520</v>
      </c>
      <c r="K9" s="152"/>
      <c r="L9" s="152"/>
      <c r="M9" s="152"/>
      <c r="N9" s="152"/>
    </row>
    <row r="10" spans="1:16" ht="20.149999999999999" customHeight="1" thickBot="1" x14ac:dyDescent="0.4">
      <c r="A10" s="594"/>
      <c r="B10" s="836" t="s">
        <v>521</v>
      </c>
      <c r="C10" s="836"/>
      <c r="D10" s="836"/>
      <c r="E10" s="599" t="s">
        <v>586</v>
      </c>
      <c r="F10" s="600" t="s">
        <v>475</v>
      </c>
      <c r="G10" s="152"/>
      <c r="H10" s="152"/>
      <c r="I10" s="388" t="s">
        <v>460</v>
      </c>
      <c r="J10" s="389"/>
      <c r="K10" s="152"/>
      <c r="L10" s="152"/>
      <c r="N10" s="152"/>
    </row>
    <row r="11" spans="1:16" ht="20.149999999999999" customHeight="1" x14ac:dyDescent="0.35">
      <c r="A11" s="801" t="s">
        <v>471</v>
      </c>
      <c r="B11" s="803"/>
      <c r="C11" s="804"/>
      <c r="D11" s="805"/>
      <c r="E11" s="802"/>
      <c r="F11" s="576"/>
      <c r="G11" s="152"/>
      <c r="H11" s="152"/>
      <c r="I11" s="152"/>
      <c r="J11" s="152"/>
      <c r="K11" s="152"/>
      <c r="L11" s="152"/>
      <c r="M11" s="152"/>
      <c r="N11" s="152"/>
    </row>
    <row r="12" spans="1:16" ht="20.149999999999999" customHeight="1" x14ac:dyDescent="0.35">
      <c r="A12" s="595" t="s">
        <v>473</v>
      </c>
      <c r="B12" s="844"/>
      <c r="C12" s="845"/>
      <c r="D12" s="845"/>
      <c r="E12" s="577"/>
      <c r="F12" s="578"/>
      <c r="G12" s="152"/>
      <c r="H12" s="152"/>
      <c r="I12" s="152"/>
      <c r="J12" s="152"/>
      <c r="K12" s="152"/>
      <c r="L12" s="152"/>
      <c r="M12" s="152"/>
      <c r="N12" s="152"/>
    </row>
    <row r="13" spans="1:16" ht="20.149999999999999" customHeight="1" thickBot="1" x14ac:dyDescent="0.4">
      <c r="A13" s="596" t="s">
        <v>474</v>
      </c>
      <c r="B13" s="806"/>
      <c r="C13" s="807"/>
      <c r="D13" s="807"/>
      <c r="E13" s="579"/>
      <c r="F13" s="580"/>
      <c r="G13" s="152"/>
      <c r="H13" s="152"/>
      <c r="I13" s="152"/>
      <c r="J13" s="152"/>
      <c r="K13" s="152"/>
      <c r="L13" s="152"/>
      <c r="M13" s="152"/>
      <c r="N13" s="152"/>
    </row>
    <row r="14" spans="1:16" ht="20.149999999999999" customHeight="1" thickBot="1" x14ac:dyDescent="0.4">
      <c r="A14" s="152"/>
      <c r="B14" s="152"/>
      <c r="C14" s="152"/>
      <c r="D14" s="152"/>
      <c r="E14" s="152"/>
      <c r="F14" s="661"/>
      <c r="G14" s="152"/>
      <c r="H14" s="152"/>
      <c r="I14" s="152"/>
      <c r="J14" s="152"/>
      <c r="K14" s="152"/>
      <c r="L14" s="152"/>
      <c r="M14" s="152"/>
      <c r="N14" s="152"/>
    </row>
    <row r="15" spans="1:16" ht="20.149999999999999" customHeight="1" x14ac:dyDescent="0.35">
      <c r="A15" s="618" t="s">
        <v>477</v>
      </c>
      <c r="B15" s="619"/>
      <c r="C15" s="620"/>
      <c r="D15" s="620"/>
      <c r="E15" s="663"/>
      <c r="F15" s="662" t="s">
        <v>476</v>
      </c>
      <c r="G15" s="152"/>
      <c r="H15" s="152"/>
      <c r="I15" s="152"/>
      <c r="J15" s="152"/>
      <c r="K15" s="152"/>
      <c r="L15" s="152"/>
      <c r="M15" s="152"/>
      <c r="N15" s="152"/>
    </row>
    <row r="16" spans="1:16" ht="20.149999999999999" customHeight="1" thickBot="1" x14ac:dyDescent="0.4">
      <c r="A16" s="390" t="s">
        <v>625</v>
      </c>
      <c r="B16" s="797"/>
      <c r="C16" s="798"/>
      <c r="D16" s="739" t="s">
        <v>473</v>
      </c>
      <c r="E16" s="797"/>
      <c r="F16" s="665"/>
      <c r="G16" s="152"/>
      <c r="H16" s="152"/>
      <c r="I16" s="152"/>
      <c r="J16" s="152"/>
      <c r="K16" s="152"/>
      <c r="L16" s="152"/>
      <c r="M16" s="152"/>
      <c r="N16" s="152"/>
    </row>
    <row r="17" spans="1:14" ht="20.149999999999999" customHeight="1" x14ac:dyDescent="0.35">
      <c r="A17" s="386" t="s">
        <v>515</v>
      </c>
      <c r="B17" s="581"/>
      <c r="C17" s="846"/>
      <c r="D17" s="847"/>
      <c r="E17" s="582" t="s">
        <v>511</v>
      </c>
      <c r="F17" s="664"/>
      <c r="G17" s="152"/>
      <c r="H17" s="152"/>
      <c r="I17" s="152"/>
      <c r="J17" s="391"/>
      <c r="K17" s="152"/>
      <c r="L17" s="152"/>
      <c r="M17" s="152"/>
      <c r="N17" s="152"/>
    </row>
    <row r="18" spans="1:14" ht="20.149999999999999" customHeight="1" x14ac:dyDescent="0.35">
      <c r="A18" s="386" t="s">
        <v>517</v>
      </c>
      <c r="B18" s="583"/>
      <c r="C18" s="848"/>
      <c r="D18" s="849"/>
      <c r="E18" s="582" t="s">
        <v>512</v>
      </c>
      <c r="F18" s="719"/>
      <c r="G18" s="152"/>
      <c r="H18" s="152"/>
      <c r="I18" s="152"/>
      <c r="K18" s="152"/>
      <c r="L18" s="152"/>
      <c r="M18" s="152"/>
      <c r="N18" s="152"/>
    </row>
    <row r="19" spans="1:14" ht="20.149999999999999" customHeight="1" thickBot="1" x14ac:dyDescent="0.4">
      <c r="A19" s="387" t="s">
        <v>516</v>
      </c>
      <c r="B19" s="584" t="b">
        <v>0</v>
      </c>
      <c r="C19" s="850"/>
      <c r="D19" s="851"/>
      <c r="E19" s="585" t="s">
        <v>513</v>
      </c>
      <c r="F19" s="720"/>
      <c r="G19" s="152"/>
      <c r="H19" s="152"/>
      <c r="I19" s="152"/>
      <c r="J19" s="152"/>
      <c r="K19" s="152"/>
      <c r="L19" s="152"/>
      <c r="M19" s="152"/>
      <c r="N19" s="152"/>
    </row>
    <row r="20" spans="1:14" ht="20.149999999999999" customHeight="1" thickBot="1" x14ac:dyDescent="0.4">
      <c r="A20" s="586"/>
      <c r="B20" s="86"/>
      <c r="D20" s="152"/>
      <c r="E20" s="586"/>
      <c r="F20" s="587"/>
      <c r="G20" s="152"/>
      <c r="H20" s="152"/>
      <c r="I20" s="152"/>
      <c r="J20" s="152"/>
      <c r="K20" s="152"/>
      <c r="L20" s="152"/>
      <c r="M20" s="152"/>
      <c r="N20" s="152"/>
    </row>
    <row r="21" spans="1:14" ht="20.149999999999999" customHeight="1" x14ac:dyDescent="0.35">
      <c r="A21" s="597" t="s">
        <v>587</v>
      </c>
      <c r="B21" s="588"/>
      <c r="C21" s="597" t="s">
        <v>588</v>
      </c>
      <c r="D21" s="660"/>
      <c r="E21" s="656" t="s">
        <v>589</v>
      </c>
      <c r="F21" s="657"/>
      <c r="G21" s="152"/>
      <c r="H21" s="152"/>
      <c r="I21" s="152"/>
      <c r="J21" s="152"/>
      <c r="K21" s="152"/>
      <c r="L21" s="152"/>
      <c r="M21" s="152"/>
      <c r="N21" s="152"/>
    </row>
    <row r="22" spans="1:14" ht="20.149999999999999" customHeight="1" thickBot="1" x14ac:dyDescent="0.4">
      <c r="A22" s="598" t="s">
        <v>518</v>
      </c>
      <c r="B22" s="589"/>
      <c r="C22" s="659" t="s">
        <v>519</v>
      </c>
      <c r="D22" s="658"/>
      <c r="E22" s="852"/>
      <c r="F22" s="853"/>
      <c r="G22" s="152"/>
      <c r="H22" s="152"/>
      <c r="I22" s="152"/>
      <c r="J22" s="152"/>
      <c r="K22" s="152"/>
      <c r="L22" s="152"/>
      <c r="M22" s="152"/>
      <c r="N22" s="152"/>
    </row>
    <row r="23" spans="1:14" ht="20.149999999999999" customHeight="1" thickBot="1" x14ac:dyDescent="0.4">
      <c r="B23" s="152"/>
      <c r="C23" s="655"/>
      <c r="D23" s="637"/>
      <c r="E23" s="854"/>
      <c r="F23" s="855"/>
      <c r="G23" s="152"/>
      <c r="H23" s="152"/>
      <c r="I23" s="152"/>
      <c r="J23" s="152"/>
      <c r="K23" s="152"/>
      <c r="L23" s="152"/>
      <c r="M23" s="152"/>
      <c r="N23" s="152"/>
    </row>
    <row r="24" spans="1:14" ht="20.149999999999999" customHeight="1" thickBot="1" x14ac:dyDescent="0.4">
      <c r="A24" s="586"/>
      <c r="B24" s="152"/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</row>
    <row r="25" spans="1:14" ht="20.149999999999999" customHeight="1" x14ac:dyDescent="0.35">
      <c r="A25" s="590" t="s">
        <v>493</v>
      </c>
      <c r="B25" s="591"/>
      <c r="C25" s="591" t="s">
        <v>440</v>
      </c>
      <c r="D25" s="837" t="s">
        <v>494</v>
      </c>
      <c r="E25" s="837"/>
      <c r="F25" s="592" t="s">
        <v>495</v>
      </c>
      <c r="G25" s="369"/>
      <c r="H25" s="152"/>
      <c r="I25" s="152"/>
      <c r="J25" s="152"/>
      <c r="K25" s="152"/>
      <c r="L25" s="152"/>
      <c r="M25" s="152"/>
      <c r="N25" s="152"/>
    </row>
    <row r="26" spans="1:14" ht="20.149999999999999" customHeight="1" x14ac:dyDescent="0.35">
      <c r="A26" s="384" t="s">
        <v>504</v>
      </c>
      <c r="B26" s="383" t="b">
        <v>0</v>
      </c>
      <c r="C26" s="519"/>
      <c r="D26" s="830"/>
      <c r="E26" s="831"/>
      <c r="F26" s="653"/>
      <c r="G26" s="369"/>
      <c r="H26" s="152"/>
      <c r="I26" s="152"/>
      <c r="J26" s="385"/>
      <c r="K26" s="152"/>
      <c r="L26" s="152"/>
      <c r="M26" s="152"/>
      <c r="N26" s="152"/>
    </row>
    <row r="27" spans="1:14" ht="20.149999999999999" customHeight="1" x14ac:dyDescent="0.35">
      <c r="A27" s="384" t="s">
        <v>505</v>
      </c>
      <c r="B27" s="383" t="b">
        <v>0</v>
      </c>
      <c r="C27" s="519"/>
      <c r="D27" s="830"/>
      <c r="E27" s="831"/>
      <c r="F27" s="653"/>
      <c r="G27" s="370"/>
      <c r="H27" s="152"/>
      <c r="I27" s="152"/>
      <c r="J27" s="152"/>
      <c r="K27" s="152"/>
      <c r="L27" s="152"/>
      <c r="M27" s="152"/>
      <c r="N27" s="152"/>
    </row>
    <row r="28" spans="1:14" ht="20.149999999999999" customHeight="1" x14ac:dyDescent="0.35">
      <c r="A28" s="384" t="s">
        <v>506</v>
      </c>
      <c r="B28" s="383" t="b">
        <v>0</v>
      </c>
      <c r="C28" s="519"/>
      <c r="D28" s="830"/>
      <c r="E28" s="831"/>
      <c r="F28" s="653"/>
      <c r="G28" s="371"/>
      <c r="H28" s="152"/>
      <c r="I28" s="152"/>
      <c r="J28" s="152"/>
      <c r="K28" s="152"/>
      <c r="L28" s="152"/>
      <c r="M28" s="152"/>
      <c r="N28" s="152"/>
    </row>
    <row r="29" spans="1:14" ht="20.149999999999999" customHeight="1" x14ac:dyDescent="0.35">
      <c r="A29" s="384" t="s">
        <v>507</v>
      </c>
      <c r="B29" s="383" t="b">
        <v>0</v>
      </c>
      <c r="C29" s="519"/>
      <c r="D29" s="830"/>
      <c r="E29" s="831"/>
      <c r="F29" s="653"/>
      <c r="G29" s="371"/>
      <c r="N29" s="152"/>
    </row>
    <row r="30" spans="1:14" ht="20.149999999999999" customHeight="1" x14ac:dyDescent="0.35">
      <c r="A30" s="384" t="s">
        <v>508</v>
      </c>
      <c r="B30" s="383" t="b">
        <v>0</v>
      </c>
      <c r="C30" s="519"/>
      <c r="D30" s="830"/>
      <c r="E30" s="831"/>
      <c r="F30" s="653"/>
      <c r="G30" s="372"/>
      <c r="N30" s="152"/>
    </row>
    <row r="31" spans="1:14" ht="20.149999999999999" customHeight="1" x14ac:dyDescent="0.35">
      <c r="A31" s="384" t="s">
        <v>509</v>
      </c>
      <c r="B31" s="383" t="b">
        <v>0</v>
      </c>
      <c r="C31" s="519"/>
      <c r="D31" s="830"/>
      <c r="E31" s="831"/>
      <c r="F31" s="653"/>
      <c r="G31" s="368"/>
      <c r="N31" s="152"/>
    </row>
    <row r="32" spans="1:14" ht="20.149999999999999" customHeight="1" thickBot="1" x14ac:dyDescent="0.4">
      <c r="A32" s="651" t="s">
        <v>510</v>
      </c>
      <c r="B32" s="652" t="b">
        <v>0</v>
      </c>
      <c r="C32" s="650"/>
      <c r="D32" s="873"/>
      <c r="E32" s="874"/>
      <c r="F32" s="654"/>
      <c r="G32" s="372"/>
      <c r="N32" s="152"/>
    </row>
    <row r="33" spans="1:17" ht="20.149999999999999" customHeight="1" thickBot="1" x14ac:dyDescent="0.4">
      <c r="A33" s="869" t="s">
        <v>590</v>
      </c>
      <c r="B33" s="870"/>
      <c r="C33" s="870"/>
      <c r="D33" s="870"/>
      <c r="E33" s="871"/>
      <c r="F33" s="649"/>
      <c r="G33" s="373"/>
      <c r="N33" s="152"/>
    </row>
    <row r="34" spans="1:17" ht="20.149999999999999" customHeight="1" thickBot="1" x14ac:dyDescent="0.4">
      <c r="A34" s="152"/>
      <c r="B34" s="152"/>
      <c r="C34" s="152"/>
      <c r="D34" s="152"/>
      <c r="E34" s="865" t="s">
        <v>496</v>
      </c>
      <c r="F34" s="866"/>
      <c r="N34" s="152"/>
      <c r="P34" s="367"/>
      <c r="Q34" s="152"/>
    </row>
    <row r="35" spans="1:17" s="152" customFormat="1" ht="20.149999999999999" customHeight="1" x14ac:dyDescent="0.35">
      <c r="A35" s="863" t="s">
        <v>484</v>
      </c>
      <c r="B35" s="872"/>
      <c r="C35" s="864"/>
      <c r="E35" s="865"/>
      <c r="F35" s="866"/>
    </row>
    <row r="36" spans="1:17" s="152" customFormat="1" ht="20.149999999999999" customHeight="1" thickBot="1" x14ac:dyDescent="0.4">
      <c r="A36" s="858" t="s">
        <v>485</v>
      </c>
      <c r="B36" s="859"/>
      <c r="C36" s="377" t="b">
        <v>0</v>
      </c>
      <c r="E36" s="867"/>
      <c r="F36" s="868"/>
    </row>
    <row r="37" spans="1:17" s="152" customFormat="1" ht="20.149999999999999" customHeight="1" x14ac:dyDescent="0.35">
      <c r="A37" s="858" t="s">
        <v>486</v>
      </c>
      <c r="B37" s="859"/>
      <c r="C37" s="377" t="b">
        <v>0</v>
      </c>
      <c r="E37" s="863" t="s">
        <v>499</v>
      </c>
      <c r="F37" s="864"/>
    </row>
    <row r="38" spans="1:17" s="152" customFormat="1" ht="20.149999999999999" customHeight="1" x14ac:dyDescent="0.35">
      <c r="A38" s="858" t="s">
        <v>487</v>
      </c>
      <c r="B38" s="859"/>
      <c r="C38" s="377" t="b">
        <v>0</v>
      </c>
      <c r="E38" s="379" t="s">
        <v>500</v>
      </c>
      <c r="F38" s="380"/>
    </row>
    <row r="39" spans="1:17" s="152" customFormat="1" ht="20.149999999999999" customHeight="1" x14ac:dyDescent="0.35">
      <c r="A39" s="858" t="s">
        <v>488</v>
      </c>
      <c r="B39" s="859"/>
      <c r="C39" s="377" t="b">
        <v>0</v>
      </c>
      <c r="E39" s="379" t="s">
        <v>501</v>
      </c>
      <c r="F39" s="380"/>
    </row>
    <row r="40" spans="1:17" s="152" customFormat="1" ht="20.149999999999999" customHeight="1" x14ac:dyDescent="0.35">
      <c r="A40" s="858" t="s">
        <v>489</v>
      </c>
      <c r="B40" s="859"/>
      <c r="C40" s="377" t="b">
        <v>0</v>
      </c>
      <c r="E40" s="382" t="s">
        <v>502</v>
      </c>
      <c r="F40" s="381"/>
    </row>
    <row r="41" spans="1:17" s="152" customFormat="1" ht="20.149999999999999" customHeight="1" thickBot="1" x14ac:dyDescent="0.4">
      <c r="A41" s="860" t="s">
        <v>490</v>
      </c>
      <c r="B41" s="861"/>
      <c r="C41" s="378" t="b">
        <v>0</v>
      </c>
      <c r="E41" s="376" t="s">
        <v>503</v>
      </c>
      <c r="F41" s="375"/>
    </row>
    <row r="42" spans="1:17" s="152" customFormat="1" ht="20.149999999999999" customHeight="1" thickBot="1" x14ac:dyDescent="0.4">
      <c r="A42" s="644"/>
      <c r="B42" s="644"/>
      <c r="C42" s="646"/>
      <c r="D42" s="645"/>
      <c r="E42" s="639"/>
      <c r="F42" s="638"/>
    </row>
    <row r="43" spans="1:17" s="152" customFormat="1" ht="20.149999999999999" customHeight="1" x14ac:dyDescent="0.35">
      <c r="A43" s="862" t="s">
        <v>585</v>
      </c>
      <c r="B43" s="862"/>
      <c r="C43" s="643" t="b">
        <v>0</v>
      </c>
      <c r="D43" s="642"/>
      <c r="E43" s="639"/>
      <c r="F43" s="638"/>
    </row>
    <row r="44" spans="1:17" s="152" customFormat="1" ht="20.149999999999999" customHeight="1" thickBot="1" x14ac:dyDescent="0.4">
      <c r="A44" s="856" t="s">
        <v>491</v>
      </c>
      <c r="B44" s="857"/>
      <c r="C44" s="640" t="b">
        <v>0</v>
      </c>
      <c r="D44" s="642"/>
      <c r="E44" s="641"/>
      <c r="F44" s="374"/>
    </row>
    <row r="45" spans="1:17" ht="20.149999999999999" customHeight="1" x14ac:dyDescent="0.35">
      <c r="A45" s="152"/>
      <c r="B45" s="152"/>
      <c r="C45" s="152"/>
      <c r="D45" s="152"/>
      <c r="G45" s="152"/>
      <c r="H45" s="152"/>
      <c r="I45" s="152"/>
      <c r="J45" s="152"/>
      <c r="K45" s="152"/>
      <c r="L45" s="152"/>
      <c r="M45" s="152"/>
      <c r="N45" s="152"/>
    </row>
    <row r="46" spans="1:17" ht="20.149999999999999" customHeight="1" x14ac:dyDescent="0.35">
      <c r="A46" s="152"/>
      <c r="B46" s="152"/>
      <c r="C46" s="152"/>
      <c r="D46" s="152"/>
      <c r="G46" s="152"/>
      <c r="H46" s="152"/>
      <c r="I46" s="152"/>
      <c r="J46" s="152"/>
      <c r="K46" s="152"/>
      <c r="L46" s="152"/>
      <c r="M46" s="152"/>
      <c r="N46" s="152"/>
    </row>
    <row r="47" spans="1:17" ht="20.149999999999999" customHeight="1" x14ac:dyDescent="0.35">
      <c r="A47" s="152"/>
      <c r="B47" s="152"/>
      <c r="C47" s="152"/>
      <c r="D47" s="152"/>
      <c r="G47" s="152"/>
      <c r="H47" s="152"/>
      <c r="I47" s="152"/>
      <c r="J47" s="152"/>
      <c r="K47" s="152"/>
      <c r="L47" s="152"/>
      <c r="M47" s="152"/>
      <c r="N47" s="152"/>
    </row>
    <row r="48" spans="1:17" ht="20.149999999999999" customHeight="1" x14ac:dyDescent="0.35">
      <c r="A48" s="152"/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</row>
    <row r="49" spans="1:14" ht="20.149999999999999" customHeight="1" x14ac:dyDescent="0.35">
      <c r="A49" s="152"/>
      <c r="B49" s="152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</row>
    <row r="50" spans="1:14" ht="20.149999999999999" customHeight="1" x14ac:dyDescent="0.35">
      <c r="A50" s="152"/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</row>
    <row r="51" spans="1:14" ht="20.149999999999999" customHeight="1" x14ac:dyDescent="0.35">
      <c r="A51" s="152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</row>
    <row r="52" spans="1:14" ht="20.149999999999999" customHeight="1" x14ac:dyDescent="0.35">
      <c r="A52" s="152"/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  <c r="N52" s="152"/>
    </row>
    <row r="53" spans="1:14" ht="20.149999999999999" customHeight="1" x14ac:dyDescent="0.3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</row>
    <row r="54" spans="1:14" ht="20.149999999999999" customHeight="1" x14ac:dyDescent="0.35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</row>
    <row r="55" spans="1:14" ht="20.149999999999999" customHeight="1" x14ac:dyDescent="0.35">
      <c r="A55" s="152"/>
      <c r="B55" s="152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</row>
    <row r="56" spans="1:14" ht="20.149999999999999" customHeight="1" x14ac:dyDescent="0.35">
      <c r="A56" s="152"/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</row>
    <row r="57" spans="1:14" ht="20.149999999999999" customHeight="1" x14ac:dyDescent="0.35">
      <c r="A57" s="152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N57" s="152"/>
    </row>
    <row r="58" spans="1:14" ht="20.149999999999999" customHeight="1" x14ac:dyDescent="0.35">
      <c r="A58" s="152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</row>
    <row r="59" spans="1:14" ht="20.149999999999999" customHeight="1" x14ac:dyDescent="0.35">
      <c r="A59" s="152"/>
      <c r="B59" s="152"/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</row>
    <row r="60" spans="1:14" ht="20.149999999999999" customHeight="1" x14ac:dyDescent="0.35">
      <c r="A60" s="152"/>
      <c r="B60" s="152"/>
      <c r="C60" s="152"/>
      <c r="D60" s="152"/>
      <c r="E60" s="152"/>
      <c r="F60" s="152"/>
      <c r="G60" s="152"/>
      <c r="H60" s="152"/>
      <c r="I60" s="152"/>
      <c r="J60" s="152"/>
      <c r="K60" s="152"/>
      <c r="L60" s="152"/>
      <c r="M60" s="152"/>
      <c r="N60" s="152"/>
    </row>
    <row r="61" spans="1:14" ht="20.149999999999999" customHeight="1" x14ac:dyDescent="0.35">
      <c r="A61" s="152"/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</row>
    <row r="62" spans="1:14" ht="20.149999999999999" customHeight="1" x14ac:dyDescent="0.3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</row>
    <row r="63" spans="1:14" ht="20.149999999999999" customHeight="1" x14ac:dyDescent="0.35">
      <c r="A63" s="152"/>
      <c r="B63" s="152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</row>
    <row r="64" spans="1:14" ht="20.149999999999999" customHeight="1" x14ac:dyDescent="0.35">
      <c r="A64" s="152"/>
      <c r="B64" s="152"/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</row>
    <row r="65" spans="1:14" ht="20.149999999999999" customHeight="1" x14ac:dyDescent="0.35">
      <c r="A65" s="152"/>
      <c r="B65" s="152"/>
      <c r="C65" s="152"/>
      <c r="D65" s="152"/>
      <c r="E65" s="152"/>
      <c r="F65" s="152"/>
      <c r="G65" s="152"/>
      <c r="H65" s="152"/>
      <c r="I65" s="152"/>
      <c r="J65" s="152"/>
      <c r="K65" s="152"/>
      <c r="L65" s="152"/>
      <c r="M65" s="152"/>
      <c r="N65" s="152"/>
    </row>
    <row r="66" spans="1:14" ht="20.149999999999999" customHeight="1" x14ac:dyDescent="0.35">
      <c r="A66" s="152"/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2"/>
      <c r="M66" s="152"/>
      <c r="N66" s="152"/>
    </row>
    <row r="67" spans="1:14" ht="20.149999999999999" customHeight="1" x14ac:dyDescent="0.35">
      <c r="A67" s="152"/>
      <c r="B67" s="152"/>
      <c r="C67" s="152"/>
      <c r="D67" s="152"/>
      <c r="E67" s="152"/>
      <c r="F67" s="152"/>
      <c r="G67" s="152"/>
      <c r="H67" s="152"/>
      <c r="I67" s="152"/>
      <c r="J67" s="152"/>
      <c r="K67" s="152"/>
      <c r="L67" s="152"/>
      <c r="M67" s="152"/>
      <c r="N67" s="152"/>
    </row>
    <row r="68" spans="1:14" ht="20.149999999999999" customHeight="1" x14ac:dyDescent="0.35">
      <c r="A68" s="152"/>
      <c r="B68" s="152"/>
      <c r="C68" s="152"/>
      <c r="D68" s="152"/>
      <c r="E68" s="152"/>
      <c r="F68" s="152"/>
      <c r="G68" s="152"/>
      <c r="H68" s="152"/>
      <c r="I68" s="152"/>
      <c r="J68" s="152"/>
      <c r="K68" s="152"/>
      <c r="L68" s="152"/>
      <c r="M68" s="152"/>
      <c r="N68" s="152"/>
    </row>
    <row r="69" spans="1:14" ht="20.149999999999999" customHeight="1" x14ac:dyDescent="0.35">
      <c r="A69" s="152"/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</row>
    <row r="70" spans="1:14" ht="20.149999999999999" customHeight="1" x14ac:dyDescent="0.35">
      <c r="A70" s="152"/>
      <c r="B70" s="152"/>
      <c r="C70" s="152"/>
      <c r="D70" s="152"/>
      <c r="E70" s="152"/>
      <c r="F70" s="152"/>
      <c r="G70" s="152"/>
      <c r="H70" s="152"/>
      <c r="I70" s="152"/>
      <c r="J70" s="152"/>
      <c r="K70" s="152"/>
      <c r="L70" s="152"/>
      <c r="M70" s="152"/>
      <c r="N70" s="152"/>
    </row>
    <row r="71" spans="1:14" ht="15.5" x14ac:dyDescent="0.35">
      <c r="A71" s="152"/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</row>
    <row r="72" spans="1:14" ht="15.5" x14ac:dyDescent="0.35">
      <c r="A72" s="152"/>
      <c r="B72" s="152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</row>
    <row r="73" spans="1:14" ht="15.5" x14ac:dyDescent="0.35">
      <c r="A73" s="152"/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</row>
    <row r="74" spans="1:14" ht="15.5" x14ac:dyDescent="0.35">
      <c r="A74" s="152"/>
      <c r="B74" s="152"/>
      <c r="C74" s="152"/>
      <c r="D74" s="152"/>
      <c r="E74" s="152"/>
      <c r="F74" s="152"/>
      <c r="G74" s="152"/>
      <c r="H74" s="152"/>
      <c r="I74" s="152"/>
      <c r="J74" s="152"/>
      <c r="K74" s="152"/>
      <c r="L74" s="152"/>
      <c r="M74" s="152"/>
      <c r="N74" s="152"/>
    </row>
    <row r="75" spans="1:14" ht="15.5" x14ac:dyDescent="0.35">
      <c r="A75" s="152"/>
      <c r="B75" s="152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152"/>
    </row>
    <row r="76" spans="1:14" ht="15.5" x14ac:dyDescent="0.35">
      <c r="A76" s="152"/>
      <c r="B76" s="152"/>
      <c r="C76" s="152"/>
      <c r="D76" s="152"/>
      <c r="E76" s="152"/>
      <c r="F76" s="152"/>
      <c r="G76" s="152"/>
      <c r="H76" s="152"/>
      <c r="I76" s="152"/>
      <c r="J76" s="152"/>
      <c r="K76" s="152"/>
      <c r="L76" s="152"/>
      <c r="M76" s="152"/>
      <c r="N76" s="152"/>
    </row>
    <row r="77" spans="1:14" ht="15.5" x14ac:dyDescent="0.35">
      <c r="A77" s="152"/>
      <c r="B77" s="152"/>
      <c r="C77" s="152"/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</row>
    <row r="78" spans="1:14" ht="15.5" x14ac:dyDescent="0.35">
      <c r="A78" s="152"/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</row>
    <row r="79" spans="1:14" ht="15.5" x14ac:dyDescent="0.35">
      <c r="A79" s="152"/>
      <c r="B79" s="152"/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</row>
    <row r="80" spans="1:14" ht="15.5" x14ac:dyDescent="0.35">
      <c r="A80" s="152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</row>
    <row r="81" spans="1:14" ht="15.5" x14ac:dyDescent="0.35">
      <c r="A81" s="152"/>
      <c r="B81" s="152"/>
      <c r="C81" s="152"/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</row>
    <row r="82" spans="1:14" ht="15.5" x14ac:dyDescent="0.35">
      <c r="A82" s="152"/>
      <c r="B82" s="152"/>
      <c r="C82" s="152"/>
      <c r="D82" s="152"/>
      <c r="E82" s="152"/>
      <c r="F82" s="152"/>
      <c r="G82" s="152"/>
      <c r="H82" s="152"/>
      <c r="I82" s="152"/>
      <c r="J82" s="152"/>
      <c r="K82" s="152"/>
      <c r="L82" s="152"/>
      <c r="M82" s="152"/>
      <c r="N82" s="152"/>
    </row>
    <row r="83" spans="1:14" ht="15.5" x14ac:dyDescent="0.35">
      <c r="A83" s="152"/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</row>
  </sheetData>
  <mergeCells count="30">
    <mergeCell ref="D31:E31"/>
    <mergeCell ref="E37:F37"/>
    <mergeCell ref="E34:F36"/>
    <mergeCell ref="A33:E33"/>
    <mergeCell ref="A35:C35"/>
    <mergeCell ref="A36:B36"/>
    <mergeCell ref="D32:E32"/>
    <mergeCell ref="A44:B44"/>
    <mergeCell ref="A37:B37"/>
    <mergeCell ref="A38:B38"/>
    <mergeCell ref="A39:B39"/>
    <mergeCell ref="A40:B40"/>
    <mergeCell ref="A41:B41"/>
    <mergeCell ref="A43:B43"/>
    <mergeCell ref="D28:E28"/>
    <mergeCell ref="D30:E30"/>
    <mergeCell ref="B12:D12"/>
    <mergeCell ref="C17:D19"/>
    <mergeCell ref="E22:F23"/>
    <mergeCell ref="D29:E29"/>
    <mergeCell ref="F1:F2"/>
    <mergeCell ref="C5:D5"/>
    <mergeCell ref="D26:E26"/>
    <mergeCell ref="D27:E27"/>
    <mergeCell ref="E5:E6"/>
    <mergeCell ref="F5:F6"/>
    <mergeCell ref="B10:D10"/>
    <mergeCell ref="D25:E25"/>
    <mergeCell ref="D1:D4"/>
    <mergeCell ref="C6:D7"/>
  </mergeCells>
  <phoneticPr fontId="32" type="noConversion"/>
  <conditionalFormatting sqref="B7:B8">
    <cfRule type="expression" dxfId="64" priority="68">
      <formula>ISNUMBER(SEARCH("INSTALL", F3))</formula>
    </cfRule>
  </conditionalFormatting>
  <conditionalFormatting sqref="F1 F3 E4:F4">
    <cfRule type="expression" dxfId="63" priority="15">
      <formula>ISNUMBER(SEARCH("PICKUP", E1))</formula>
    </cfRule>
    <cfRule type="expression" dxfId="62" priority="16">
      <formula>ISNUMBER(SEARCH("ship", E1))</formula>
    </cfRule>
    <cfRule type="expression" dxfId="61" priority="18">
      <formula>ISNUMBER(SEARCH("INSTALL", E1))</formula>
    </cfRule>
  </conditionalFormatting>
  <dataValidations count="5">
    <dataValidation type="list" allowBlank="1" showInputMessage="1" showErrorMessage="1" sqref="B6" xr:uid="{B7E70BD6-73EE-4B01-A6F0-A32A5F57A7A4}">
      <formula1>$N$1:$N$5</formula1>
    </dataValidation>
    <dataValidation type="list" allowBlank="1" showInputMessage="1" showErrorMessage="1" sqref="F26:F29" xr:uid="{99B96106-E845-4AE6-9A70-A861AC084337}">
      <formula1>$O$1:$O$4</formula1>
    </dataValidation>
    <dataValidation type="list" allowBlank="1" showInputMessage="1" showErrorMessage="1" sqref="F32" xr:uid="{CE94A160-CD66-41B8-A97B-BDDF56E68965}">
      <formula1>$O$1:$O$7</formula1>
    </dataValidation>
    <dataValidation type="list" allowBlank="1" showInputMessage="1" showErrorMessage="1" sqref="E4:F4 F3 F1" xr:uid="{14819F01-B8C2-4266-867E-2746992C039A}">
      <formula1>$M$1:$M$3</formula1>
    </dataValidation>
    <dataValidation type="list" allowBlank="1" showInputMessage="1" showErrorMessage="1" sqref="B7" xr:uid="{4BFCB246-2ED9-45F2-8EA0-5062B8C73A39}">
      <formula1>$P$1:$P$4</formula1>
    </dataValidation>
  </dataValidations>
  <pageMargins left="0.39370078740157483" right="0.31496062992125984" top="0.39370078740157483" bottom="0.39370078740157483" header="0.31496062992125984" footer="0.31496062992125984"/>
  <pageSetup paperSize="9"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AA0D4-BABC-4D50-A6C2-D7AC50DEA335}">
  <sheetPr>
    <pageSetUpPr fitToPage="1"/>
  </sheetPr>
  <dimension ref="A1:D29"/>
  <sheetViews>
    <sheetView workbookViewId="0">
      <selection activeCell="G22" sqref="G22"/>
    </sheetView>
  </sheetViews>
  <sheetFormatPr defaultRowHeight="14.5" x14ac:dyDescent="0.35"/>
  <cols>
    <col min="1" max="1" width="38.54296875" customWidth="1"/>
    <col min="2" max="2" width="55.7265625" customWidth="1"/>
    <col min="3" max="3" width="15.54296875" customWidth="1"/>
    <col min="4" max="4" width="18.54296875" customWidth="1"/>
  </cols>
  <sheetData>
    <row r="1" spans="1:4" ht="30" customHeight="1" x14ac:dyDescent="0.35">
      <c r="A1" s="875" t="s">
        <v>604</v>
      </c>
      <c r="B1" s="876"/>
      <c r="C1" s="879" t="str">
        <f>'Job Details Install'!F1</f>
        <v>INSTALL</v>
      </c>
      <c r="D1" s="880"/>
    </row>
    <row r="2" spans="1:4" ht="30" customHeight="1" thickBot="1" x14ac:dyDescent="0.4">
      <c r="A2" s="877"/>
      <c r="B2" s="878"/>
      <c r="C2" s="881"/>
      <c r="D2" s="882"/>
    </row>
    <row r="3" spans="1:4" ht="30" customHeight="1" x14ac:dyDescent="0.35">
      <c r="D3" s="838" t="e" vm="1">
        <f ca="1">_xlfn.IMAGE("https://api.qrserver.com/v1/create-qr-code/?size=150x150&amp;data=" &amp; _xlfn.ENCODEURL('Job Details Install'!J10), "QR", 1)</f>
        <v>#VALUE!</v>
      </c>
    </row>
    <row r="4" spans="1:4" ht="30" customHeight="1" x14ac:dyDescent="0.35">
      <c r="D4" s="839"/>
    </row>
    <row r="5" spans="1:4" ht="30" customHeight="1" thickBot="1" x14ac:dyDescent="0.4">
      <c r="D5" s="839"/>
    </row>
    <row r="6" spans="1:4" ht="30" customHeight="1" thickBot="1" x14ac:dyDescent="0.4">
      <c r="A6" s="704" t="s">
        <v>601</v>
      </c>
      <c r="B6" s="706">
        <f>'Job Details Install'!$B$9</f>
        <v>0</v>
      </c>
      <c r="C6" s="702"/>
      <c r="D6" s="703"/>
    </row>
    <row r="7" spans="1:4" ht="30" customHeight="1" thickBot="1" x14ac:dyDescent="0.4">
      <c r="A7" s="697"/>
      <c r="B7" s="698"/>
    </row>
    <row r="8" spans="1:4" ht="30" customHeight="1" thickBot="1" x14ac:dyDescent="0.4">
      <c r="A8" s="704" t="s">
        <v>148</v>
      </c>
      <c r="B8" s="706">
        <f>'Job Details Install'!$F$5</f>
        <v>0</v>
      </c>
      <c r="C8" s="702"/>
      <c r="D8" s="703"/>
    </row>
    <row r="9" spans="1:4" ht="30" customHeight="1" thickBot="1" x14ac:dyDescent="0.4">
      <c r="A9" s="697"/>
      <c r="B9" s="698"/>
    </row>
    <row r="10" spans="1:4" ht="30" customHeight="1" thickBot="1" x14ac:dyDescent="0.4">
      <c r="A10" s="704" t="s">
        <v>606</v>
      </c>
      <c r="B10" s="718">
        <f>'Job Details Install'!$C$6</f>
        <v>0</v>
      </c>
    </row>
    <row r="11" spans="1:4" ht="30" customHeight="1" thickBot="1" x14ac:dyDescent="0.4">
      <c r="A11" s="697"/>
      <c r="B11" s="698"/>
    </row>
    <row r="12" spans="1:4" ht="30" customHeight="1" thickBot="1" x14ac:dyDescent="0.4">
      <c r="A12" s="704" t="s">
        <v>605</v>
      </c>
      <c r="B12" s="701"/>
    </row>
    <row r="13" spans="1:4" ht="30" customHeight="1" thickBot="1" x14ac:dyDescent="0.4"/>
    <row r="14" spans="1:4" ht="30" customHeight="1" thickBot="1" x14ac:dyDescent="0.4">
      <c r="A14" s="705" t="s">
        <v>602</v>
      </c>
      <c r="B14" s="699"/>
      <c r="C14" s="694"/>
      <c r="D14" s="695"/>
    </row>
    <row r="15" spans="1:4" ht="30" customHeight="1" thickBot="1" x14ac:dyDescent="0.4">
      <c r="A15" s="697"/>
      <c r="B15" s="700"/>
      <c r="C15" s="148"/>
      <c r="D15" s="696"/>
    </row>
    <row r="16" spans="1:4" ht="30" customHeight="1" thickBot="1" x14ac:dyDescent="0.4"/>
    <row r="17" spans="1:4" ht="30" customHeight="1" thickBot="1" x14ac:dyDescent="0.4">
      <c r="A17" s="705" t="s">
        <v>603</v>
      </c>
      <c r="B17" s="699"/>
      <c r="C17" s="694"/>
      <c r="D17" s="695"/>
    </row>
    <row r="18" spans="1:4" ht="30" customHeight="1" thickBot="1" x14ac:dyDescent="0.4">
      <c r="A18" s="11"/>
      <c r="B18" s="113"/>
      <c r="C18" s="148"/>
      <c r="D18" s="696"/>
    </row>
    <row r="19" spans="1:4" ht="30" customHeight="1" thickBot="1" x14ac:dyDescent="0.4">
      <c r="A19" s="11"/>
    </row>
    <row r="20" spans="1:4" ht="30" customHeight="1" thickBot="1" x14ac:dyDescent="0.4">
      <c r="A20" s="704" t="s">
        <v>607</v>
      </c>
      <c r="B20" s="707"/>
    </row>
    <row r="21" spans="1:4" ht="30" customHeight="1" thickBot="1" x14ac:dyDescent="0.4">
      <c r="B21" s="708"/>
    </row>
    <row r="22" spans="1:4" ht="30" customHeight="1" x14ac:dyDescent="0.35"/>
    <row r="23" spans="1:4" ht="30" customHeight="1" x14ac:dyDescent="0.35"/>
    <row r="24" spans="1:4" ht="30" customHeight="1" x14ac:dyDescent="0.35"/>
    <row r="25" spans="1:4" ht="30" customHeight="1" x14ac:dyDescent="0.35"/>
    <row r="26" spans="1:4" ht="30" customHeight="1" x14ac:dyDescent="0.35"/>
    <row r="27" spans="1:4" ht="30" customHeight="1" x14ac:dyDescent="0.35"/>
    <row r="28" spans="1:4" ht="30" customHeight="1" x14ac:dyDescent="0.35"/>
    <row r="29" spans="1:4" ht="20.149999999999999" customHeight="1" x14ac:dyDescent="0.35"/>
  </sheetData>
  <mergeCells count="3">
    <mergeCell ref="A1:B2"/>
    <mergeCell ref="C1:D2"/>
    <mergeCell ref="D3:D5"/>
  </mergeCells>
  <conditionalFormatting sqref="C1">
    <cfRule type="expression" dxfId="60" priority="1">
      <formula>ISNUMBER(SEARCH("PICKUP", C1))</formula>
    </cfRule>
    <cfRule type="expression" dxfId="59" priority="2">
      <formula>ISNUMBER(SEARCH("ship", C1))</formula>
    </cfRule>
    <cfRule type="expression" dxfId="58" priority="3">
      <formula>ISNUMBER(SEARCH("INSTALL", C1))</formula>
    </cfRule>
  </conditionalFormatting>
  <pageMargins left="0.7" right="0.7" top="0.75" bottom="0.75" header="0.3" footer="0.3"/>
  <pageSetup paperSize="9" scale="6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1AD16-62E6-4B85-8DEC-B82FA4310744}">
  <sheetPr>
    <tabColor rgb="FF00B0F0"/>
  </sheetPr>
  <dimension ref="A1:E462"/>
  <sheetViews>
    <sheetView workbookViewId="0">
      <selection activeCell="L28" sqref="L28"/>
    </sheetView>
  </sheetViews>
  <sheetFormatPr defaultRowHeight="14.5" x14ac:dyDescent="0.35"/>
  <cols>
    <col min="1" max="1" width="18.81640625" customWidth="1"/>
    <col min="3" max="3" width="30.1796875" customWidth="1"/>
    <col min="4" max="4" width="13.1796875" customWidth="1"/>
    <col min="5" max="5" width="13.453125" customWidth="1"/>
    <col min="252" max="252" width="18.81640625" customWidth="1"/>
    <col min="254" max="254" width="30.1796875" customWidth="1"/>
    <col min="255" max="255" width="13.1796875" customWidth="1"/>
    <col min="256" max="256" width="13.453125" customWidth="1"/>
    <col min="508" max="508" width="18.81640625" customWidth="1"/>
    <col min="510" max="510" width="30.1796875" customWidth="1"/>
    <col min="511" max="511" width="13.1796875" customWidth="1"/>
    <col min="512" max="512" width="13.453125" customWidth="1"/>
    <col min="764" max="764" width="18.81640625" customWidth="1"/>
    <col min="766" max="766" width="30.1796875" customWidth="1"/>
    <col min="767" max="767" width="13.1796875" customWidth="1"/>
    <col min="768" max="768" width="13.453125" customWidth="1"/>
    <col min="1020" max="1020" width="18.81640625" customWidth="1"/>
    <col min="1022" max="1022" width="30.1796875" customWidth="1"/>
    <col min="1023" max="1023" width="13.1796875" customWidth="1"/>
    <col min="1024" max="1024" width="13.453125" customWidth="1"/>
    <col min="1276" max="1276" width="18.81640625" customWidth="1"/>
    <col min="1278" max="1278" width="30.1796875" customWidth="1"/>
    <col min="1279" max="1279" width="13.1796875" customWidth="1"/>
    <col min="1280" max="1280" width="13.453125" customWidth="1"/>
    <col min="1532" max="1532" width="18.81640625" customWidth="1"/>
    <col min="1534" max="1534" width="30.1796875" customWidth="1"/>
    <col min="1535" max="1535" width="13.1796875" customWidth="1"/>
    <col min="1536" max="1536" width="13.453125" customWidth="1"/>
    <col min="1788" max="1788" width="18.81640625" customWidth="1"/>
    <col min="1790" max="1790" width="30.1796875" customWidth="1"/>
    <col min="1791" max="1791" width="13.1796875" customWidth="1"/>
    <col min="1792" max="1792" width="13.453125" customWidth="1"/>
    <col min="2044" max="2044" width="18.81640625" customWidth="1"/>
    <col min="2046" max="2046" width="30.1796875" customWidth="1"/>
    <col min="2047" max="2047" width="13.1796875" customWidth="1"/>
    <col min="2048" max="2048" width="13.453125" customWidth="1"/>
    <col min="2300" max="2300" width="18.81640625" customWidth="1"/>
    <col min="2302" max="2302" width="30.1796875" customWidth="1"/>
    <col min="2303" max="2303" width="13.1796875" customWidth="1"/>
    <col min="2304" max="2304" width="13.453125" customWidth="1"/>
    <col min="2556" max="2556" width="18.81640625" customWidth="1"/>
    <col min="2558" max="2558" width="30.1796875" customWidth="1"/>
    <col min="2559" max="2559" width="13.1796875" customWidth="1"/>
    <col min="2560" max="2560" width="13.453125" customWidth="1"/>
    <col min="2812" max="2812" width="18.81640625" customWidth="1"/>
    <col min="2814" max="2814" width="30.1796875" customWidth="1"/>
    <col min="2815" max="2815" width="13.1796875" customWidth="1"/>
    <col min="2816" max="2816" width="13.453125" customWidth="1"/>
    <col min="3068" max="3068" width="18.81640625" customWidth="1"/>
    <col min="3070" max="3070" width="30.1796875" customWidth="1"/>
    <col min="3071" max="3071" width="13.1796875" customWidth="1"/>
    <col min="3072" max="3072" width="13.453125" customWidth="1"/>
    <col min="3324" max="3324" width="18.81640625" customWidth="1"/>
    <col min="3326" max="3326" width="30.1796875" customWidth="1"/>
    <col min="3327" max="3327" width="13.1796875" customWidth="1"/>
    <col min="3328" max="3328" width="13.453125" customWidth="1"/>
    <col min="3580" max="3580" width="18.81640625" customWidth="1"/>
    <col min="3582" max="3582" width="30.1796875" customWidth="1"/>
    <col min="3583" max="3583" width="13.1796875" customWidth="1"/>
    <col min="3584" max="3584" width="13.453125" customWidth="1"/>
    <col min="3836" max="3836" width="18.81640625" customWidth="1"/>
    <col min="3838" max="3838" width="30.1796875" customWidth="1"/>
    <col min="3839" max="3839" width="13.1796875" customWidth="1"/>
    <col min="3840" max="3840" width="13.453125" customWidth="1"/>
    <col min="4092" max="4092" width="18.81640625" customWidth="1"/>
    <col min="4094" max="4094" width="30.1796875" customWidth="1"/>
    <col min="4095" max="4095" width="13.1796875" customWidth="1"/>
    <col min="4096" max="4096" width="13.453125" customWidth="1"/>
    <col min="4348" max="4348" width="18.81640625" customWidth="1"/>
    <col min="4350" max="4350" width="30.1796875" customWidth="1"/>
    <col min="4351" max="4351" width="13.1796875" customWidth="1"/>
    <col min="4352" max="4352" width="13.453125" customWidth="1"/>
    <col min="4604" max="4604" width="18.81640625" customWidth="1"/>
    <col min="4606" max="4606" width="30.1796875" customWidth="1"/>
    <col min="4607" max="4607" width="13.1796875" customWidth="1"/>
    <col min="4608" max="4608" width="13.453125" customWidth="1"/>
    <col min="4860" max="4860" width="18.81640625" customWidth="1"/>
    <col min="4862" max="4862" width="30.1796875" customWidth="1"/>
    <col min="4863" max="4863" width="13.1796875" customWidth="1"/>
    <col min="4864" max="4864" width="13.453125" customWidth="1"/>
    <col min="5116" max="5116" width="18.81640625" customWidth="1"/>
    <col min="5118" max="5118" width="30.1796875" customWidth="1"/>
    <col min="5119" max="5119" width="13.1796875" customWidth="1"/>
    <col min="5120" max="5120" width="13.453125" customWidth="1"/>
    <col min="5372" max="5372" width="18.81640625" customWidth="1"/>
    <col min="5374" max="5374" width="30.1796875" customWidth="1"/>
    <col min="5375" max="5375" width="13.1796875" customWidth="1"/>
    <col min="5376" max="5376" width="13.453125" customWidth="1"/>
    <col min="5628" max="5628" width="18.81640625" customWidth="1"/>
    <col min="5630" max="5630" width="30.1796875" customWidth="1"/>
    <col min="5631" max="5631" width="13.1796875" customWidth="1"/>
    <col min="5632" max="5632" width="13.453125" customWidth="1"/>
    <col min="5884" max="5884" width="18.81640625" customWidth="1"/>
    <col min="5886" max="5886" width="30.1796875" customWidth="1"/>
    <col min="5887" max="5887" width="13.1796875" customWidth="1"/>
    <col min="5888" max="5888" width="13.453125" customWidth="1"/>
    <col min="6140" max="6140" width="18.81640625" customWidth="1"/>
    <col min="6142" max="6142" width="30.1796875" customWidth="1"/>
    <col min="6143" max="6143" width="13.1796875" customWidth="1"/>
    <col min="6144" max="6144" width="13.453125" customWidth="1"/>
    <col min="6396" max="6396" width="18.81640625" customWidth="1"/>
    <col min="6398" max="6398" width="30.1796875" customWidth="1"/>
    <col min="6399" max="6399" width="13.1796875" customWidth="1"/>
    <col min="6400" max="6400" width="13.453125" customWidth="1"/>
    <col min="6652" max="6652" width="18.81640625" customWidth="1"/>
    <col min="6654" max="6654" width="30.1796875" customWidth="1"/>
    <col min="6655" max="6655" width="13.1796875" customWidth="1"/>
    <col min="6656" max="6656" width="13.453125" customWidth="1"/>
    <col min="6908" max="6908" width="18.81640625" customWidth="1"/>
    <col min="6910" max="6910" width="30.1796875" customWidth="1"/>
    <col min="6911" max="6911" width="13.1796875" customWidth="1"/>
    <col min="6912" max="6912" width="13.453125" customWidth="1"/>
    <col min="7164" max="7164" width="18.81640625" customWidth="1"/>
    <col min="7166" max="7166" width="30.1796875" customWidth="1"/>
    <col min="7167" max="7167" width="13.1796875" customWidth="1"/>
    <col min="7168" max="7168" width="13.453125" customWidth="1"/>
    <col min="7420" max="7420" width="18.81640625" customWidth="1"/>
    <col min="7422" max="7422" width="30.1796875" customWidth="1"/>
    <col min="7423" max="7423" width="13.1796875" customWidth="1"/>
    <col min="7424" max="7424" width="13.453125" customWidth="1"/>
    <col min="7676" max="7676" width="18.81640625" customWidth="1"/>
    <col min="7678" max="7678" width="30.1796875" customWidth="1"/>
    <col min="7679" max="7679" width="13.1796875" customWidth="1"/>
    <col min="7680" max="7680" width="13.453125" customWidth="1"/>
    <col min="7932" max="7932" width="18.81640625" customWidth="1"/>
    <col min="7934" max="7934" width="30.1796875" customWidth="1"/>
    <col min="7935" max="7935" width="13.1796875" customWidth="1"/>
    <col min="7936" max="7936" width="13.453125" customWidth="1"/>
    <col min="8188" max="8188" width="18.81640625" customWidth="1"/>
    <col min="8190" max="8190" width="30.1796875" customWidth="1"/>
    <col min="8191" max="8191" width="13.1796875" customWidth="1"/>
    <col min="8192" max="8192" width="13.453125" customWidth="1"/>
    <col min="8444" max="8444" width="18.81640625" customWidth="1"/>
    <col min="8446" max="8446" width="30.1796875" customWidth="1"/>
    <col min="8447" max="8447" width="13.1796875" customWidth="1"/>
    <col min="8448" max="8448" width="13.453125" customWidth="1"/>
    <col min="8700" max="8700" width="18.81640625" customWidth="1"/>
    <col min="8702" max="8702" width="30.1796875" customWidth="1"/>
    <col min="8703" max="8703" width="13.1796875" customWidth="1"/>
    <col min="8704" max="8704" width="13.453125" customWidth="1"/>
    <col min="8956" max="8956" width="18.81640625" customWidth="1"/>
    <col min="8958" max="8958" width="30.1796875" customWidth="1"/>
    <col min="8959" max="8959" width="13.1796875" customWidth="1"/>
    <col min="8960" max="8960" width="13.453125" customWidth="1"/>
    <col min="9212" max="9212" width="18.81640625" customWidth="1"/>
    <col min="9214" max="9214" width="30.1796875" customWidth="1"/>
    <col min="9215" max="9215" width="13.1796875" customWidth="1"/>
    <col min="9216" max="9216" width="13.453125" customWidth="1"/>
    <col min="9468" max="9468" width="18.81640625" customWidth="1"/>
    <col min="9470" max="9470" width="30.1796875" customWidth="1"/>
    <col min="9471" max="9471" width="13.1796875" customWidth="1"/>
    <col min="9472" max="9472" width="13.453125" customWidth="1"/>
    <col min="9724" max="9724" width="18.81640625" customWidth="1"/>
    <col min="9726" max="9726" width="30.1796875" customWidth="1"/>
    <col min="9727" max="9727" width="13.1796875" customWidth="1"/>
    <col min="9728" max="9728" width="13.453125" customWidth="1"/>
    <col min="9980" max="9980" width="18.81640625" customWidth="1"/>
    <col min="9982" max="9982" width="30.1796875" customWidth="1"/>
    <col min="9983" max="9983" width="13.1796875" customWidth="1"/>
    <col min="9984" max="9984" width="13.453125" customWidth="1"/>
    <col min="10236" max="10236" width="18.81640625" customWidth="1"/>
    <col min="10238" max="10238" width="30.1796875" customWidth="1"/>
    <col min="10239" max="10239" width="13.1796875" customWidth="1"/>
    <col min="10240" max="10240" width="13.453125" customWidth="1"/>
    <col min="10492" max="10492" width="18.81640625" customWidth="1"/>
    <col min="10494" max="10494" width="30.1796875" customWidth="1"/>
    <col min="10495" max="10495" width="13.1796875" customWidth="1"/>
    <col min="10496" max="10496" width="13.453125" customWidth="1"/>
    <col min="10748" max="10748" width="18.81640625" customWidth="1"/>
    <col min="10750" max="10750" width="30.1796875" customWidth="1"/>
    <col min="10751" max="10751" width="13.1796875" customWidth="1"/>
    <col min="10752" max="10752" width="13.453125" customWidth="1"/>
    <col min="11004" max="11004" width="18.81640625" customWidth="1"/>
    <col min="11006" max="11006" width="30.1796875" customWidth="1"/>
    <col min="11007" max="11007" width="13.1796875" customWidth="1"/>
    <col min="11008" max="11008" width="13.453125" customWidth="1"/>
    <col min="11260" max="11260" width="18.81640625" customWidth="1"/>
    <col min="11262" max="11262" width="30.1796875" customWidth="1"/>
    <col min="11263" max="11263" width="13.1796875" customWidth="1"/>
    <col min="11264" max="11264" width="13.453125" customWidth="1"/>
    <col min="11516" max="11516" width="18.81640625" customWidth="1"/>
    <col min="11518" max="11518" width="30.1796875" customWidth="1"/>
    <col min="11519" max="11519" width="13.1796875" customWidth="1"/>
    <col min="11520" max="11520" width="13.453125" customWidth="1"/>
    <col min="11772" max="11772" width="18.81640625" customWidth="1"/>
    <col min="11774" max="11774" width="30.1796875" customWidth="1"/>
    <col min="11775" max="11775" width="13.1796875" customWidth="1"/>
    <col min="11776" max="11776" width="13.453125" customWidth="1"/>
    <col min="12028" max="12028" width="18.81640625" customWidth="1"/>
    <col min="12030" max="12030" width="30.1796875" customWidth="1"/>
    <col min="12031" max="12031" width="13.1796875" customWidth="1"/>
    <col min="12032" max="12032" width="13.453125" customWidth="1"/>
    <col min="12284" max="12284" width="18.81640625" customWidth="1"/>
    <col min="12286" max="12286" width="30.1796875" customWidth="1"/>
    <col min="12287" max="12287" width="13.1796875" customWidth="1"/>
    <col min="12288" max="12288" width="13.453125" customWidth="1"/>
    <col min="12540" max="12540" width="18.81640625" customWidth="1"/>
    <col min="12542" max="12542" width="30.1796875" customWidth="1"/>
    <col min="12543" max="12543" width="13.1796875" customWidth="1"/>
    <col min="12544" max="12544" width="13.453125" customWidth="1"/>
    <col min="12796" max="12796" width="18.81640625" customWidth="1"/>
    <col min="12798" max="12798" width="30.1796875" customWidth="1"/>
    <col min="12799" max="12799" width="13.1796875" customWidth="1"/>
    <col min="12800" max="12800" width="13.453125" customWidth="1"/>
    <col min="13052" max="13052" width="18.81640625" customWidth="1"/>
    <col min="13054" max="13054" width="30.1796875" customWidth="1"/>
    <col min="13055" max="13055" width="13.1796875" customWidth="1"/>
    <col min="13056" max="13056" width="13.453125" customWidth="1"/>
    <col min="13308" max="13308" width="18.81640625" customWidth="1"/>
    <col min="13310" max="13310" width="30.1796875" customWidth="1"/>
    <col min="13311" max="13311" width="13.1796875" customWidth="1"/>
    <col min="13312" max="13312" width="13.453125" customWidth="1"/>
    <col min="13564" max="13564" width="18.81640625" customWidth="1"/>
    <col min="13566" max="13566" width="30.1796875" customWidth="1"/>
    <col min="13567" max="13567" width="13.1796875" customWidth="1"/>
    <col min="13568" max="13568" width="13.453125" customWidth="1"/>
    <col min="13820" max="13820" width="18.81640625" customWidth="1"/>
    <col min="13822" max="13822" width="30.1796875" customWidth="1"/>
    <col min="13823" max="13823" width="13.1796875" customWidth="1"/>
    <col min="13824" max="13824" width="13.453125" customWidth="1"/>
    <col min="14076" max="14076" width="18.81640625" customWidth="1"/>
    <col min="14078" max="14078" width="30.1796875" customWidth="1"/>
    <col min="14079" max="14079" width="13.1796875" customWidth="1"/>
    <col min="14080" max="14080" width="13.453125" customWidth="1"/>
    <col min="14332" max="14332" width="18.81640625" customWidth="1"/>
    <col min="14334" max="14334" width="30.1796875" customWidth="1"/>
    <col min="14335" max="14335" width="13.1796875" customWidth="1"/>
    <col min="14336" max="14336" width="13.453125" customWidth="1"/>
    <col min="14588" max="14588" width="18.81640625" customWidth="1"/>
    <col min="14590" max="14590" width="30.1796875" customWidth="1"/>
    <col min="14591" max="14591" width="13.1796875" customWidth="1"/>
    <col min="14592" max="14592" width="13.453125" customWidth="1"/>
    <col min="14844" max="14844" width="18.81640625" customWidth="1"/>
    <col min="14846" max="14846" width="30.1796875" customWidth="1"/>
    <col min="14847" max="14847" width="13.1796875" customWidth="1"/>
    <col min="14848" max="14848" width="13.453125" customWidth="1"/>
    <col min="15100" max="15100" width="18.81640625" customWidth="1"/>
    <col min="15102" max="15102" width="30.1796875" customWidth="1"/>
    <col min="15103" max="15103" width="13.1796875" customWidth="1"/>
    <col min="15104" max="15104" width="13.453125" customWidth="1"/>
    <col min="15356" max="15356" width="18.81640625" customWidth="1"/>
    <col min="15358" max="15358" width="30.1796875" customWidth="1"/>
    <col min="15359" max="15359" width="13.1796875" customWidth="1"/>
    <col min="15360" max="15360" width="13.453125" customWidth="1"/>
    <col min="15612" max="15612" width="18.81640625" customWidth="1"/>
    <col min="15614" max="15614" width="30.1796875" customWidth="1"/>
    <col min="15615" max="15615" width="13.1796875" customWidth="1"/>
    <col min="15616" max="15616" width="13.453125" customWidth="1"/>
    <col min="15868" max="15868" width="18.81640625" customWidth="1"/>
    <col min="15870" max="15870" width="30.1796875" customWidth="1"/>
    <col min="15871" max="15871" width="13.1796875" customWidth="1"/>
    <col min="15872" max="15872" width="13.453125" customWidth="1"/>
    <col min="16124" max="16124" width="18.81640625" customWidth="1"/>
    <col min="16126" max="16126" width="30.1796875" customWidth="1"/>
    <col min="16127" max="16127" width="13.1796875" customWidth="1"/>
    <col min="16128" max="16128" width="13.453125" customWidth="1"/>
    <col min="16380" max="16384" width="9.1796875" customWidth="1"/>
  </cols>
  <sheetData>
    <row r="1" spans="1:5" ht="30.75" customHeight="1" x14ac:dyDescent="0.35">
      <c r="A1" s="162"/>
      <c r="B1" s="883" t="s">
        <v>4</v>
      </c>
      <c r="C1" s="883"/>
      <c r="D1" s="883"/>
      <c r="E1" s="883"/>
    </row>
    <row r="2" spans="1:5" ht="24" customHeight="1" x14ac:dyDescent="0.35">
      <c r="A2" s="101"/>
      <c r="B2" s="102"/>
      <c r="C2" s="102"/>
      <c r="D2" s="884" t="s">
        <v>5</v>
      </c>
      <c r="E2" s="885"/>
    </row>
    <row r="3" spans="1:5" ht="22.4" customHeight="1" x14ac:dyDescent="0.35">
      <c r="A3" s="103" t="s">
        <v>1</v>
      </c>
      <c r="B3" s="104"/>
      <c r="C3" s="105" t="s">
        <v>6</v>
      </c>
      <c r="D3" s="106">
        <v>125</v>
      </c>
      <c r="E3" s="107">
        <f t="shared" ref="E3:E18" si="0">B3*D3</f>
        <v>0</v>
      </c>
    </row>
    <row r="4" spans="1:5" ht="22.4" customHeight="1" x14ac:dyDescent="0.35">
      <c r="A4" s="108"/>
      <c r="B4" s="109"/>
      <c r="C4" s="110" t="s">
        <v>7</v>
      </c>
      <c r="D4" s="111">
        <v>60</v>
      </c>
      <c r="E4" s="112">
        <f t="shared" si="0"/>
        <v>0</v>
      </c>
    </row>
    <row r="5" spans="1:5" ht="22.4" customHeight="1" x14ac:dyDescent="0.35">
      <c r="A5" s="113"/>
      <c r="B5" s="114"/>
      <c r="C5" s="115" t="s">
        <v>8</v>
      </c>
      <c r="D5" s="116">
        <v>75</v>
      </c>
      <c r="E5" s="117">
        <f t="shared" si="0"/>
        <v>0</v>
      </c>
    </row>
    <row r="6" spans="1:5" ht="22.4" customHeight="1" x14ac:dyDescent="0.35">
      <c r="A6" s="103" t="s">
        <v>9</v>
      </c>
      <c r="B6" s="118"/>
      <c r="C6" s="105" t="s">
        <v>10</v>
      </c>
      <c r="D6" s="119">
        <v>35</v>
      </c>
      <c r="E6" s="107">
        <f t="shared" si="0"/>
        <v>0</v>
      </c>
    </row>
    <row r="7" spans="1:5" ht="22.4" customHeight="1" x14ac:dyDescent="0.35">
      <c r="A7" s="84"/>
      <c r="B7" s="109"/>
      <c r="C7" s="110" t="s">
        <v>11</v>
      </c>
      <c r="D7" s="111">
        <v>120</v>
      </c>
      <c r="E7" s="112">
        <f>B7*D7</f>
        <v>0</v>
      </c>
    </row>
    <row r="8" spans="1:5" ht="22.4" customHeight="1" x14ac:dyDescent="0.35">
      <c r="A8" s="84"/>
      <c r="B8" s="109"/>
      <c r="C8" s="110" t="s">
        <v>12</v>
      </c>
      <c r="D8" s="111">
        <v>100</v>
      </c>
      <c r="E8" s="112">
        <f t="shared" si="0"/>
        <v>0</v>
      </c>
    </row>
    <row r="9" spans="1:5" ht="22.4" customHeight="1" x14ac:dyDescent="0.35">
      <c r="A9" s="84"/>
      <c r="B9" s="109"/>
      <c r="C9" s="110" t="s">
        <v>13</v>
      </c>
      <c r="D9" s="111">
        <v>85</v>
      </c>
      <c r="E9" s="112">
        <f>B9*D9</f>
        <v>0</v>
      </c>
    </row>
    <row r="10" spans="1:5" ht="22.4" customHeight="1" x14ac:dyDescent="0.35">
      <c r="A10" s="84"/>
      <c r="B10" s="109"/>
      <c r="C10" s="110" t="s">
        <v>14</v>
      </c>
      <c r="D10" s="120">
        <v>25</v>
      </c>
      <c r="E10" s="112">
        <f t="shared" si="0"/>
        <v>0</v>
      </c>
    </row>
    <row r="11" spans="1:5" ht="22.4" customHeight="1" x14ac:dyDescent="0.35">
      <c r="A11" s="84"/>
      <c r="B11" s="109"/>
      <c r="C11" s="110" t="s">
        <v>15</v>
      </c>
      <c r="D11" s="111">
        <v>95</v>
      </c>
      <c r="E11" s="112">
        <f t="shared" si="0"/>
        <v>0</v>
      </c>
    </row>
    <row r="12" spans="1:5" ht="22.4" customHeight="1" x14ac:dyDescent="0.35">
      <c r="A12" s="113"/>
      <c r="B12" s="121"/>
      <c r="C12" s="122" t="s">
        <v>16</v>
      </c>
      <c r="D12" s="116">
        <v>35</v>
      </c>
      <c r="E12" s="117">
        <f t="shared" si="0"/>
        <v>0</v>
      </c>
    </row>
    <row r="13" spans="1:5" ht="22.4" customHeight="1" x14ac:dyDescent="0.35">
      <c r="A13" s="103" t="s">
        <v>17</v>
      </c>
      <c r="B13" s="104"/>
      <c r="C13" s="123" t="s">
        <v>18</v>
      </c>
      <c r="D13" s="124">
        <v>165</v>
      </c>
      <c r="E13" s="107">
        <f t="shared" si="0"/>
        <v>0</v>
      </c>
    </row>
    <row r="14" spans="1:5" ht="22.4" customHeight="1" x14ac:dyDescent="0.35">
      <c r="A14" s="113"/>
      <c r="B14" s="121"/>
      <c r="C14" s="115" t="s">
        <v>19</v>
      </c>
      <c r="D14" s="125">
        <v>50</v>
      </c>
      <c r="E14" s="126">
        <f t="shared" si="0"/>
        <v>0</v>
      </c>
    </row>
    <row r="15" spans="1:5" ht="22.4" customHeight="1" x14ac:dyDescent="0.35">
      <c r="A15" s="103" t="s">
        <v>20</v>
      </c>
      <c r="B15" s="129"/>
      <c r="C15" s="130" t="s">
        <v>21</v>
      </c>
      <c r="D15" s="106">
        <v>150</v>
      </c>
      <c r="E15" s="107">
        <f t="shared" si="0"/>
        <v>0</v>
      </c>
    </row>
    <row r="16" spans="1:5" ht="22.4" customHeight="1" x14ac:dyDescent="0.35">
      <c r="A16" s="84"/>
      <c r="B16" s="109"/>
      <c r="C16" s="110" t="s">
        <v>22</v>
      </c>
      <c r="D16" s="111">
        <v>175</v>
      </c>
      <c r="E16" s="112">
        <f t="shared" si="0"/>
        <v>0</v>
      </c>
    </row>
    <row r="17" spans="1:5" ht="22.4" customHeight="1" x14ac:dyDescent="0.35">
      <c r="A17" s="113"/>
      <c r="B17" s="121"/>
      <c r="C17" s="115" t="s">
        <v>23</v>
      </c>
      <c r="D17" s="125">
        <v>200</v>
      </c>
      <c r="E17" s="126">
        <f t="shared" si="0"/>
        <v>0</v>
      </c>
    </row>
    <row r="18" spans="1:5" ht="22.4" customHeight="1" x14ac:dyDescent="0.35">
      <c r="A18" s="127" t="s">
        <v>24</v>
      </c>
      <c r="B18" s="128"/>
      <c r="C18" s="131" t="s">
        <v>25</v>
      </c>
      <c r="D18" s="125">
        <v>350</v>
      </c>
      <c r="E18" s="126">
        <f t="shared" si="0"/>
        <v>0</v>
      </c>
    </row>
    <row r="19" spans="1:5" ht="22.4" customHeight="1" x14ac:dyDescent="0.35">
      <c r="A19" s="101"/>
      <c r="B19" s="132"/>
      <c r="C19" s="133"/>
      <c r="D19" s="134" t="s">
        <v>26</v>
      </c>
      <c r="E19" s="135">
        <f>SUM(E3:E18)</f>
        <v>0</v>
      </c>
    </row>
    <row r="20" spans="1:5" ht="22.4" customHeight="1" x14ac:dyDescent="0.35">
      <c r="A20" s="136" t="s">
        <v>27</v>
      </c>
      <c r="B20" s="137"/>
      <c r="C20" s="138" t="s">
        <v>28</v>
      </c>
      <c r="D20" s="139"/>
      <c r="E20" s="140">
        <f>B20*E19</f>
        <v>0</v>
      </c>
    </row>
    <row r="21" spans="1:5" ht="22.4" customHeight="1" x14ac:dyDescent="0.35">
      <c r="A21" s="141" t="s">
        <v>29</v>
      </c>
      <c r="B21" s="142"/>
      <c r="C21" s="143" t="s">
        <v>28</v>
      </c>
      <c r="D21" s="144"/>
      <c r="E21" s="145">
        <f>-(B21*E19)</f>
        <v>0</v>
      </c>
    </row>
    <row r="22" spans="1:5" ht="22.4" customHeight="1" x14ac:dyDescent="0.35">
      <c r="A22" s="141" t="s">
        <v>30</v>
      </c>
      <c r="B22" s="146"/>
      <c r="C22" s="147" t="s">
        <v>28</v>
      </c>
      <c r="D22" s="144"/>
      <c r="E22" s="145">
        <f>-(B22*E19)</f>
        <v>0</v>
      </c>
    </row>
    <row r="23" spans="1:5" ht="22.4" customHeight="1" x14ac:dyDescent="0.35">
      <c r="A23" s="886" t="s">
        <v>31</v>
      </c>
      <c r="B23" s="887"/>
      <c r="C23" s="887"/>
      <c r="D23" s="887"/>
      <c r="E23" s="145">
        <f>SUM(E19:E22)</f>
        <v>0</v>
      </c>
    </row>
    <row r="24" spans="1:5" ht="22.4" customHeight="1" x14ac:dyDescent="0.45">
      <c r="A24" s="113"/>
      <c r="B24" s="148"/>
      <c r="C24" s="148"/>
      <c r="D24" s="149" t="s">
        <v>32</v>
      </c>
      <c r="E24" s="150">
        <f>SUM(E23:E23)</f>
        <v>0</v>
      </c>
    </row>
    <row r="25" spans="1:5" ht="22.4" customHeight="1" x14ac:dyDescent="0.35">
      <c r="A25" s="151"/>
      <c r="B25" s="152"/>
      <c r="C25" s="152" t="s">
        <v>33</v>
      </c>
      <c r="D25" s="153">
        <v>250</v>
      </c>
    </row>
    <row r="462" spans="2:2" x14ac:dyDescent="0.35">
      <c r="B462" t="s">
        <v>34</v>
      </c>
    </row>
  </sheetData>
  <mergeCells count="3">
    <mergeCell ref="B1:E1"/>
    <mergeCell ref="D2:E2"/>
    <mergeCell ref="A23:D2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9EB2B-C44C-4B07-99B3-0A37A9BFDF06}">
  <sheetPr>
    <tabColor rgb="FF00B0F0"/>
  </sheetPr>
  <dimension ref="A1:Y45"/>
  <sheetViews>
    <sheetView zoomScaleNormal="100" workbookViewId="0">
      <selection activeCell="U17" sqref="U17"/>
    </sheetView>
  </sheetViews>
  <sheetFormatPr defaultColWidth="9.1796875" defaultRowHeight="13" x14ac:dyDescent="0.3"/>
  <cols>
    <col min="1" max="1" width="19.6328125" style="1" customWidth="1"/>
    <col min="2" max="2" width="11.54296875" style="1" customWidth="1"/>
    <col min="3" max="6" width="10.1796875" style="1" customWidth="1"/>
    <col min="7" max="7" width="12.1796875" style="1" customWidth="1"/>
    <col min="8" max="8" width="9.1796875" style="1" customWidth="1"/>
    <col min="9" max="9" width="5.1796875" style="1" customWidth="1"/>
    <col min="10" max="10" width="7.81640625" style="1" customWidth="1"/>
    <col min="11" max="11" width="3.81640625" style="1" customWidth="1"/>
    <col min="12" max="12" width="6.54296875" style="1" customWidth="1"/>
    <col min="13" max="14" width="7.81640625" style="1" customWidth="1"/>
    <col min="15" max="15" width="7.1796875" style="1" customWidth="1"/>
    <col min="16" max="16" width="9.1796875" style="1" customWidth="1"/>
    <col min="17" max="17" width="14.453125" style="1" customWidth="1"/>
    <col min="18" max="20" width="9.1796875" style="1"/>
    <col min="21" max="25" width="20.7265625" style="1" customWidth="1"/>
    <col min="26" max="16384" width="9.1796875" style="1"/>
  </cols>
  <sheetData>
    <row r="1" spans="1:18" ht="40.4" customHeight="1" x14ac:dyDescent="0.35">
      <c r="A1" s="157" t="s">
        <v>35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</row>
    <row r="2" spans="1:18" ht="33" customHeight="1" x14ac:dyDescent="0.3">
      <c r="A2" s="32" t="s">
        <v>36</v>
      </c>
    </row>
    <row r="3" spans="1:18" ht="26.25" customHeight="1" x14ac:dyDescent="0.35">
      <c r="A3" s="33" t="s">
        <v>37</v>
      </c>
      <c r="B3" s="815"/>
      <c r="C3" s="815"/>
      <c r="D3" s="815"/>
      <c r="E3" s="815"/>
      <c r="F3" s="815"/>
      <c r="G3" s="815"/>
      <c r="H3" s="815"/>
      <c r="I3" s="815"/>
      <c r="J3" s="816"/>
      <c r="K3" s="816"/>
      <c r="L3" s="816"/>
      <c r="M3" s="816"/>
      <c r="N3" s="816"/>
    </row>
    <row r="4" spans="1:18" ht="24" customHeight="1" x14ac:dyDescent="0.3">
      <c r="A4" s="35" t="s">
        <v>38</v>
      </c>
      <c r="B4" s="815">
        <f>'Job Details Install'!B9</f>
        <v>0</v>
      </c>
      <c r="C4" s="817"/>
      <c r="D4" s="817"/>
      <c r="E4" s="817"/>
      <c r="F4" s="817"/>
      <c r="G4" s="817"/>
      <c r="H4" s="817"/>
      <c r="I4" s="817"/>
      <c r="J4" s="33" t="s">
        <v>39</v>
      </c>
      <c r="K4" s="33"/>
      <c r="L4" s="815">
        <f>'Job Details Install'!F5</f>
        <v>0</v>
      </c>
      <c r="M4" s="817"/>
      <c r="N4" s="817"/>
    </row>
    <row r="5" spans="1:18" ht="24.75" customHeight="1" x14ac:dyDescent="0.35">
      <c r="A5" s="81" t="s">
        <v>40</v>
      </c>
      <c r="B5" s="818">
        <f>'Job Details Install'!C6</f>
        <v>0</v>
      </c>
      <c r="C5" s="819"/>
      <c r="D5" s="819"/>
      <c r="E5" s="819"/>
      <c r="F5" s="819"/>
      <c r="G5" s="819"/>
      <c r="H5" s="819"/>
      <c r="I5" s="819"/>
      <c r="J5" s="820"/>
      <c r="K5" s="820"/>
      <c r="L5" s="820"/>
      <c r="M5" s="820"/>
      <c r="N5" s="821"/>
    </row>
    <row r="6" spans="1:18" ht="21.65" customHeight="1" x14ac:dyDescent="0.3">
      <c r="A6" s="25"/>
      <c r="B6" s="822" t="s">
        <v>2</v>
      </c>
      <c r="C6" s="822"/>
      <c r="D6" s="822"/>
      <c r="E6" s="822"/>
      <c r="F6" s="822"/>
      <c r="G6" s="822"/>
      <c r="H6" s="9"/>
      <c r="J6" s="23"/>
      <c r="K6" s="823" t="s">
        <v>41</v>
      </c>
      <c r="L6" s="824"/>
      <c r="M6" s="825"/>
      <c r="N6" s="99"/>
      <c r="O6" s="26"/>
    </row>
    <row r="7" spans="1:18" ht="21.65" customHeight="1" x14ac:dyDescent="0.35">
      <c r="A7" s="25"/>
      <c r="B7" s="635"/>
      <c r="C7" s="635"/>
      <c r="D7" s="635"/>
      <c r="E7" s="635"/>
      <c r="F7" s="636"/>
      <c r="G7"/>
      <c r="H7" s="632"/>
      <c r="J7" s="23"/>
      <c r="K7" s="313"/>
      <c r="L7" s="314"/>
      <c r="M7" s="315"/>
      <c r="N7" s="99"/>
      <c r="O7" s="26"/>
    </row>
    <row r="8" spans="1:18" ht="15.65" customHeight="1" x14ac:dyDescent="0.3">
      <c r="A8" s="36" t="s">
        <v>42</v>
      </c>
      <c r="B8" s="37" t="s">
        <v>445</v>
      </c>
      <c r="C8" s="37" t="s">
        <v>446</v>
      </c>
      <c r="D8" s="37" t="s">
        <v>582</v>
      </c>
      <c r="E8" s="37" t="s">
        <v>583</v>
      </c>
      <c r="F8" s="37" t="s">
        <v>584</v>
      </c>
      <c r="G8" s="53" t="s">
        <v>439</v>
      </c>
      <c r="H8" s="53" t="s">
        <v>43</v>
      </c>
      <c r="J8" s="23"/>
      <c r="K8" s="812" t="s">
        <v>44</v>
      </c>
      <c r="L8" s="813"/>
      <c r="M8" s="814"/>
      <c r="N8" s="24"/>
      <c r="O8" s="40" t="s">
        <v>43</v>
      </c>
      <c r="Q8" s="41" t="s">
        <v>45</v>
      </c>
      <c r="R8" s="1" t="s">
        <v>46</v>
      </c>
    </row>
    <row r="9" spans="1:18" ht="20.149999999999999" customHeight="1" x14ac:dyDescent="0.3">
      <c r="A9" s="759" t="s">
        <v>47</v>
      </c>
      <c r="B9" s="608"/>
      <c r="C9" s="608"/>
      <c r="D9" s="608"/>
      <c r="E9" s="608"/>
      <c r="F9" s="608"/>
      <c r="G9" s="608">
        <f t="shared" ref="G9:G32" si="0">B9+C9+D9+E9+F9</f>
        <v>0</v>
      </c>
      <c r="H9" s="487"/>
      <c r="I9" s="196"/>
      <c r="J9" s="408"/>
      <c r="K9" s="811" t="s">
        <v>48</v>
      </c>
      <c r="L9" s="811"/>
      <c r="M9" s="811"/>
      <c r="N9" s="488">
        <f>(G11+G12+G13+G15)*2</f>
        <v>0</v>
      </c>
      <c r="O9" s="409"/>
      <c r="P9" s="196"/>
      <c r="Q9" s="489">
        <v>117.52</v>
      </c>
      <c r="R9" s="489">
        <f t="shared" ref="R9:R28" si="1">(G9)*Q9</f>
        <v>0</v>
      </c>
    </row>
    <row r="10" spans="1:18" ht="20.149999999999999" customHeight="1" x14ac:dyDescent="0.3">
      <c r="A10" s="760" t="s">
        <v>49</v>
      </c>
      <c r="B10" s="608"/>
      <c r="C10" s="608"/>
      <c r="D10" s="608"/>
      <c r="E10" s="608"/>
      <c r="F10" s="608"/>
      <c r="G10" s="608">
        <f t="shared" si="0"/>
        <v>0</v>
      </c>
      <c r="H10" s="487"/>
      <c r="I10" s="196"/>
      <c r="J10" s="196"/>
      <c r="K10" s="811" t="s">
        <v>50</v>
      </c>
      <c r="L10" s="811"/>
      <c r="M10" s="811"/>
      <c r="N10" s="488">
        <f>SUM(SUM(B18:B21)*4)</f>
        <v>0</v>
      </c>
      <c r="O10" s="409"/>
      <c r="P10" s="196"/>
      <c r="Q10" s="489">
        <v>66.959999999999994</v>
      </c>
      <c r="R10" s="489">
        <f t="shared" si="1"/>
        <v>0</v>
      </c>
    </row>
    <row r="11" spans="1:18" ht="20.149999999999999" customHeight="1" x14ac:dyDescent="0.3">
      <c r="A11" s="760" t="s">
        <v>556</v>
      </c>
      <c r="B11" s="608"/>
      <c r="C11" s="608"/>
      <c r="D11" s="608"/>
      <c r="E11" s="608"/>
      <c r="F11" s="608"/>
      <c r="G11" s="608">
        <f t="shared" si="0"/>
        <v>0</v>
      </c>
      <c r="H11" s="487"/>
      <c r="I11" s="196"/>
      <c r="J11" s="196"/>
      <c r="K11" s="811" t="s">
        <v>52</v>
      </c>
      <c r="L11" s="811"/>
      <c r="M11" s="811"/>
      <c r="N11" s="488">
        <f>SUM(SUM(C18:C21)*4)</f>
        <v>0</v>
      </c>
      <c r="O11" s="409"/>
      <c r="P11" s="196"/>
      <c r="Q11" s="489">
        <v>103.17</v>
      </c>
      <c r="R11" s="489">
        <f t="shared" si="1"/>
        <v>0</v>
      </c>
    </row>
    <row r="12" spans="1:18" ht="20.149999999999999" customHeight="1" x14ac:dyDescent="0.3">
      <c r="A12" s="760" t="s">
        <v>555</v>
      </c>
      <c r="B12" s="608"/>
      <c r="C12" s="608"/>
      <c r="D12" s="608"/>
      <c r="E12" s="608"/>
      <c r="F12" s="608"/>
      <c r="G12" s="608">
        <f t="shared" si="0"/>
        <v>0</v>
      </c>
      <c r="H12" s="486"/>
      <c r="I12" s="196"/>
      <c r="J12" s="196"/>
      <c r="K12" s="811" t="s">
        <v>54</v>
      </c>
      <c r="L12" s="811"/>
      <c r="M12" s="811"/>
      <c r="N12" s="488">
        <f>SUM(SUM(G18:G21)*4)</f>
        <v>0</v>
      </c>
      <c r="O12" s="409"/>
      <c r="P12" s="196"/>
      <c r="Q12" s="489">
        <v>103.17</v>
      </c>
      <c r="R12" s="489">
        <f t="shared" si="1"/>
        <v>0</v>
      </c>
    </row>
    <row r="13" spans="1:18" ht="20.149999999999999" customHeight="1" x14ac:dyDescent="0.3">
      <c r="A13" s="760" t="s">
        <v>557</v>
      </c>
      <c r="B13" s="608"/>
      <c r="C13" s="608"/>
      <c r="D13" s="608"/>
      <c r="E13" s="608"/>
      <c r="F13" s="608"/>
      <c r="G13" s="608">
        <f t="shared" si="0"/>
        <v>0</v>
      </c>
      <c r="H13" s="486"/>
      <c r="I13" s="484" t="s">
        <v>56</v>
      </c>
      <c r="J13" s="484"/>
      <c r="K13" s="811" t="s">
        <v>57</v>
      </c>
      <c r="L13" s="811"/>
      <c r="M13" s="811"/>
      <c r="N13" s="488">
        <f>SUM(SUM(B18:G21)*4)</f>
        <v>0</v>
      </c>
      <c r="O13" s="409"/>
      <c r="P13" s="196"/>
      <c r="Q13" s="489">
        <v>103.17</v>
      </c>
      <c r="R13" s="489">
        <f t="shared" si="1"/>
        <v>0</v>
      </c>
    </row>
    <row r="14" spans="1:18" ht="20.149999999999999" customHeight="1" x14ac:dyDescent="0.3">
      <c r="A14" s="760" t="s">
        <v>635</v>
      </c>
      <c r="B14" s="608"/>
      <c r="C14" s="608"/>
      <c r="D14" s="608"/>
      <c r="E14" s="608"/>
      <c r="F14" s="608"/>
      <c r="G14" s="608">
        <f t="shared" si="0"/>
        <v>0</v>
      </c>
      <c r="H14" s="486"/>
      <c r="I14" s="758"/>
      <c r="J14" s="758"/>
      <c r="K14" s="747"/>
      <c r="L14" s="748"/>
      <c r="M14" s="749"/>
      <c r="N14" s="488"/>
      <c r="O14" s="409"/>
      <c r="P14" s="196"/>
      <c r="Q14" s="489">
        <v>71.040000000000006</v>
      </c>
      <c r="R14" s="489">
        <f t="shared" si="1"/>
        <v>0</v>
      </c>
    </row>
    <row r="15" spans="1:18" ht="20.149999999999999" customHeight="1" x14ac:dyDescent="0.3">
      <c r="A15" s="760" t="s">
        <v>53</v>
      </c>
      <c r="B15" s="608"/>
      <c r="C15" s="608"/>
      <c r="D15" s="608"/>
      <c r="E15" s="608"/>
      <c r="F15" s="608"/>
      <c r="G15" s="608">
        <f t="shared" si="0"/>
        <v>0</v>
      </c>
      <c r="H15" s="487"/>
      <c r="I15" s="196"/>
      <c r="J15" s="196"/>
      <c r="K15" s="808" t="s">
        <v>59</v>
      </c>
      <c r="L15" s="809"/>
      <c r="M15" s="810"/>
      <c r="N15" s="488">
        <f>SUM(SUM(B22:G24)*4+(SUM(N19*2)))</f>
        <v>0</v>
      </c>
      <c r="O15" s="409"/>
      <c r="P15" s="196"/>
      <c r="Q15" s="489">
        <v>71.040000000000006</v>
      </c>
      <c r="R15" s="489">
        <f t="shared" si="1"/>
        <v>0</v>
      </c>
    </row>
    <row r="16" spans="1:18" ht="20.149999999999999" customHeight="1" x14ac:dyDescent="0.3">
      <c r="A16" s="760" t="s">
        <v>636</v>
      </c>
      <c r="B16" s="608"/>
      <c r="C16" s="608"/>
      <c r="D16" s="608"/>
      <c r="E16" s="608"/>
      <c r="F16" s="608"/>
      <c r="G16" s="608">
        <f t="shared" si="0"/>
        <v>0</v>
      </c>
      <c r="H16" s="487"/>
      <c r="I16" s="196"/>
      <c r="J16" s="196"/>
      <c r="K16" s="747"/>
      <c r="L16" s="748"/>
      <c r="M16" s="749"/>
      <c r="N16" s="488"/>
      <c r="O16" s="409"/>
      <c r="P16" s="196"/>
      <c r="Q16" s="489">
        <v>71.040000000000006</v>
      </c>
      <c r="R16" s="489">
        <f t="shared" si="1"/>
        <v>0</v>
      </c>
    </row>
    <row r="17" spans="1:25" ht="20.149999999999999" customHeight="1" x14ac:dyDescent="0.3">
      <c r="A17" s="760" t="s">
        <v>638</v>
      </c>
      <c r="B17" s="608"/>
      <c r="C17" s="608"/>
      <c r="D17" s="608"/>
      <c r="E17" s="608"/>
      <c r="F17" s="608"/>
      <c r="G17" s="608">
        <f t="shared" si="0"/>
        <v>0</v>
      </c>
      <c r="H17" s="487"/>
      <c r="I17" s="196"/>
      <c r="J17" s="196"/>
      <c r="K17" s="747"/>
      <c r="L17" s="748"/>
      <c r="M17" s="749"/>
      <c r="N17" s="488"/>
      <c r="O17" s="409"/>
      <c r="P17" s="196"/>
      <c r="Q17" s="489">
        <v>35</v>
      </c>
      <c r="R17" s="489">
        <f t="shared" si="1"/>
        <v>0</v>
      </c>
    </row>
    <row r="18" spans="1:25" ht="20.149999999999999" customHeight="1" x14ac:dyDescent="0.3">
      <c r="A18" s="760" t="s">
        <v>55</v>
      </c>
      <c r="B18" s="608"/>
      <c r="C18" s="608"/>
      <c r="D18" s="608"/>
      <c r="E18" s="608"/>
      <c r="F18" s="608"/>
      <c r="G18" s="608">
        <f t="shared" si="0"/>
        <v>0</v>
      </c>
      <c r="H18" s="487"/>
      <c r="I18" s="196"/>
      <c r="J18" s="196"/>
      <c r="K18" s="808" t="s">
        <v>61</v>
      </c>
      <c r="L18" s="809"/>
      <c r="M18" s="810"/>
      <c r="N18" s="488">
        <f>SUM(B26:G26)*12+SUM(B25:G25)*12</f>
        <v>0</v>
      </c>
      <c r="O18" s="409"/>
      <c r="P18" s="196"/>
      <c r="Q18" s="489">
        <v>71.040000000000006</v>
      </c>
      <c r="R18" s="489">
        <f t="shared" si="1"/>
        <v>0</v>
      </c>
    </row>
    <row r="19" spans="1:25" ht="20.149999999999999" customHeight="1" x14ac:dyDescent="0.3">
      <c r="A19" s="760" t="s">
        <v>553</v>
      </c>
      <c r="B19" s="608"/>
      <c r="C19" s="608"/>
      <c r="D19" s="608"/>
      <c r="E19" s="608"/>
      <c r="F19" s="608"/>
      <c r="G19" s="608">
        <f t="shared" si="0"/>
        <v>0</v>
      </c>
      <c r="H19" s="409"/>
      <c r="I19" s="485">
        <f>SUM(B22+C22+G22)*2</f>
        <v>0</v>
      </c>
      <c r="J19" s="407" t="s">
        <v>63</v>
      </c>
      <c r="K19" s="808" t="s">
        <v>64</v>
      </c>
      <c r="L19" s="809"/>
      <c r="M19" s="810"/>
      <c r="N19" s="488">
        <f>SUM(SUM(B11:G11)*1)</f>
        <v>0</v>
      </c>
      <c r="O19" s="409"/>
      <c r="P19" s="196"/>
      <c r="Q19" s="489">
        <v>42.49</v>
      </c>
      <c r="R19" s="489">
        <f t="shared" si="1"/>
        <v>0</v>
      </c>
    </row>
    <row r="20" spans="1:25" ht="20.149999999999999" customHeight="1" x14ac:dyDescent="0.3">
      <c r="A20" s="760" t="s">
        <v>58</v>
      </c>
      <c r="B20" s="608"/>
      <c r="C20" s="608"/>
      <c r="D20" s="608"/>
      <c r="E20" s="608"/>
      <c r="F20" s="608"/>
      <c r="G20" s="608">
        <f t="shared" si="0"/>
        <v>0</v>
      </c>
      <c r="H20" s="487"/>
      <c r="I20" s="485">
        <f>SUM(B23+C23+G23)*2</f>
        <v>0</v>
      </c>
      <c r="J20" s="407" t="s">
        <v>63</v>
      </c>
      <c r="K20" s="808" t="s">
        <v>66</v>
      </c>
      <c r="L20" s="809"/>
      <c r="M20" s="810"/>
      <c r="N20" s="488">
        <f>SUM(B10*8)</f>
        <v>0</v>
      </c>
      <c r="O20" s="409"/>
      <c r="P20" s="196"/>
      <c r="Q20" s="489">
        <v>32.49</v>
      </c>
      <c r="R20" s="489">
        <f t="shared" si="1"/>
        <v>0</v>
      </c>
    </row>
    <row r="21" spans="1:25" ht="20.149999999999999" customHeight="1" x14ac:dyDescent="0.3">
      <c r="A21" s="760" t="s">
        <v>60</v>
      </c>
      <c r="B21" s="608"/>
      <c r="C21" s="608"/>
      <c r="D21" s="608"/>
      <c r="E21" s="608"/>
      <c r="F21" s="608"/>
      <c r="G21" s="608">
        <f t="shared" si="0"/>
        <v>0</v>
      </c>
      <c r="H21" s="487"/>
      <c r="I21" s="485">
        <f>SUM(B24+C24+G24)*2</f>
        <v>0</v>
      </c>
      <c r="J21" s="407" t="s">
        <v>63</v>
      </c>
      <c r="K21" s="808" t="s">
        <v>68</v>
      </c>
      <c r="L21" s="809"/>
      <c r="M21" s="810"/>
      <c r="N21" s="488">
        <f>SUM(C10*8)</f>
        <v>0</v>
      </c>
      <c r="O21" s="409"/>
      <c r="P21" s="196"/>
      <c r="Q21" s="489">
        <v>25</v>
      </c>
      <c r="R21" s="489">
        <f t="shared" si="1"/>
        <v>0</v>
      </c>
    </row>
    <row r="22" spans="1:25" ht="20.149999999999999" customHeight="1" x14ac:dyDescent="0.3">
      <c r="A22" s="760" t="s">
        <v>62</v>
      </c>
      <c r="B22" s="608"/>
      <c r="C22" s="608"/>
      <c r="D22" s="608"/>
      <c r="E22" s="608"/>
      <c r="F22" s="608"/>
      <c r="G22" s="608">
        <f t="shared" si="0"/>
        <v>0</v>
      </c>
      <c r="H22" s="487"/>
      <c r="I22" s="410"/>
      <c r="J22" s="196"/>
      <c r="K22" s="808" t="s">
        <v>70</v>
      </c>
      <c r="L22" s="809"/>
      <c r="M22" s="810"/>
      <c r="N22" s="488">
        <f>SUM(G10*8)</f>
        <v>0</v>
      </c>
      <c r="O22" s="409"/>
      <c r="P22" s="196"/>
      <c r="Q22" s="489">
        <v>22</v>
      </c>
      <c r="R22" s="489">
        <f t="shared" si="1"/>
        <v>0</v>
      </c>
    </row>
    <row r="23" spans="1:25" ht="20.149999999999999" customHeight="1" x14ac:dyDescent="0.3">
      <c r="A23" s="760" t="s">
        <v>65</v>
      </c>
      <c r="B23" s="608"/>
      <c r="C23" s="608"/>
      <c r="D23" s="608"/>
      <c r="E23" s="608"/>
      <c r="F23" s="608"/>
      <c r="G23" s="608">
        <f t="shared" si="0"/>
        <v>0</v>
      </c>
      <c r="H23" s="486"/>
      <c r="I23" s="196"/>
      <c r="J23" s="196"/>
      <c r="K23" s="808" t="s">
        <v>72</v>
      </c>
      <c r="L23" s="809"/>
      <c r="M23" s="810"/>
      <c r="N23" s="488">
        <f>SUM(I19:I21)</f>
        <v>0</v>
      </c>
      <c r="O23" s="409"/>
      <c r="P23" s="196"/>
      <c r="Q23" s="489">
        <v>22</v>
      </c>
      <c r="R23" s="489">
        <f t="shared" si="1"/>
        <v>0</v>
      </c>
    </row>
    <row r="24" spans="1:25" ht="20.149999999999999" customHeight="1" x14ac:dyDescent="0.3">
      <c r="A24" s="760" t="s">
        <v>67</v>
      </c>
      <c r="B24" s="608"/>
      <c r="C24" s="608"/>
      <c r="D24" s="608"/>
      <c r="E24" s="608"/>
      <c r="F24" s="608"/>
      <c r="G24" s="608">
        <f t="shared" si="0"/>
        <v>0</v>
      </c>
      <c r="H24" s="486"/>
      <c r="I24" s="196"/>
      <c r="J24" s="196"/>
      <c r="K24" s="808" t="s">
        <v>74</v>
      </c>
      <c r="L24" s="809"/>
      <c r="M24" s="810"/>
      <c r="N24" s="488">
        <v>1</v>
      </c>
      <c r="O24" s="409"/>
      <c r="P24" s="196"/>
      <c r="Q24" s="489">
        <v>22</v>
      </c>
      <c r="R24" s="489">
        <f t="shared" si="1"/>
        <v>0</v>
      </c>
    </row>
    <row r="25" spans="1:25" ht="20.149999999999999" customHeight="1" x14ac:dyDescent="0.3">
      <c r="A25" s="760" t="s">
        <v>69</v>
      </c>
      <c r="B25" s="608"/>
      <c r="C25" s="608"/>
      <c r="D25" s="608"/>
      <c r="E25" s="608"/>
      <c r="F25" s="608"/>
      <c r="G25" s="608">
        <f t="shared" si="0"/>
        <v>0</v>
      </c>
      <c r="H25" s="486"/>
      <c r="I25" s="196"/>
      <c r="J25" s="196"/>
      <c r="K25" s="331"/>
      <c r="L25" s="331"/>
      <c r="M25" s="331"/>
      <c r="N25" s="491"/>
      <c r="O25" s="196"/>
      <c r="P25" s="196"/>
      <c r="Q25" s="489">
        <v>325</v>
      </c>
      <c r="R25" s="489">
        <f t="shared" si="1"/>
        <v>0</v>
      </c>
    </row>
    <row r="26" spans="1:25" ht="20.149999999999999" customHeight="1" x14ac:dyDescent="0.3">
      <c r="A26" s="760" t="s">
        <v>71</v>
      </c>
      <c r="B26" s="608"/>
      <c r="C26" s="608"/>
      <c r="D26" s="608"/>
      <c r="E26" s="608"/>
      <c r="F26" s="608"/>
      <c r="G26" s="608">
        <f t="shared" si="0"/>
        <v>0</v>
      </c>
      <c r="H26" s="486"/>
      <c r="I26" s="196"/>
      <c r="J26" s="196"/>
      <c r="K26" s="196"/>
      <c r="L26" s="196"/>
      <c r="M26" s="196"/>
      <c r="N26" s="196"/>
      <c r="O26" s="196"/>
      <c r="P26" s="196"/>
      <c r="Q26" s="489">
        <v>325</v>
      </c>
      <c r="R26" s="489">
        <f t="shared" si="1"/>
        <v>0</v>
      </c>
    </row>
    <row r="27" spans="1:25" ht="20.149999999999999" customHeight="1" x14ac:dyDescent="0.3">
      <c r="A27" s="522" t="s">
        <v>73</v>
      </c>
      <c r="B27" s="608"/>
      <c r="C27" s="609"/>
      <c r="D27" s="609"/>
      <c r="E27" s="609"/>
      <c r="F27" s="609"/>
      <c r="G27" s="608">
        <f t="shared" si="0"/>
        <v>0</v>
      </c>
      <c r="H27" s="490"/>
      <c r="I27" s="196"/>
      <c r="J27" s="196"/>
      <c r="K27" s="196"/>
      <c r="L27" s="196"/>
      <c r="M27" s="196"/>
      <c r="N27" s="196"/>
      <c r="O27" s="196"/>
      <c r="P27" s="196"/>
      <c r="Q27" s="492">
        <v>19.9985</v>
      </c>
      <c r="R27" s="489">
        <f t="shared" si="1"/>
        <v>0</v>
      </c>
    </row>
    <row r="28" spans="1:25" ht="20.149999999999999" customHeight="1" x14ac:dyDescent="0.3">
      <c r="A28" s="522" t="s">
        <v>172</v>
      </c>
      <c r="B28" s="13"/>
      <c r="C28" s="13"/>
      <c r="D28" s="13"/>
      <c r="E28" s="13"/>
      <c r="F28" s="13"/>
      <c r="G28" s="608">
        <f t="shared" si="0"/>
        <v>0</v>
      </c>
      <c r="H28" s="26"/>
      <c r="I28" s="196"/>
      <c r="J28" s="196"/>
      <c r="K28" s="196"/>
      <c r="L28" s="196"/>
      <c r="M28" s="196"/>
      <c r="N28" s="196"/>
      <c r="O28" s="196"/>
      <c r="P28" s="196"/>
      <c r="Q28" s="492">
        <v>127</v>
      </c>
      <c r="R28" s="489">
        <f t="shared" si="1"/>
        <v>0</v>
      </c>
    </row>
    <row r="29" spans="1:25" ht="20.149999999999999" customHeight="1" x14ac:dyDescent="0.3">
      <c r="A29" s="522" t="s">
        <v>75</v>
      </c>
      <c r="B29" s="608"/>
      <c r="C29" s="609"/>
      <c r="D29" s="609"/>
      <c r="E29" s="609"/>
      <c r="F29" s="609"/>
      <c r="G29" s="608">
        <f t="shared" si="0"/>
        <v>0</v>
      </c>
      <c r="H29" s="490"/>
      <c r="I29" s="196"/>
      <c r="J29" s="196"/>
      <c r="K29" s="196"/>
      <c r="L29" s="196"/>
      <c r="M29" s="196"/>
      <c r="N29" s="196"/>
      <c r="O29" s="196"/>
      <c r="P29" s="196"/>
      <c r="Q29" s="492">
        <v>20</v>
      </c>
      <c r="R29" s="489">
        <f>(G29)*Q29</f>
        <v>0</v>
      </c>
    </row>
    <row r="30" spans="1:25" ht="20.149999999999999" customHeight="1" x14ac:dyDescent="0.3">
      <c r="A30" s="761" t="s">
        <v>76</v>
      </c>
      <c r="B30" s="608"/>
      <c r="C30" s="609"/>
      <c r="D30" s="609"/>
      <c r="E30" s="609"/>
      <c r="F30" s="609"/>
      <c r="G30" s="608">
        <f t="shared" si="0"/>
        <v>0</v>
      </c>
      <c r="H30" s="409"/>
      <c r="I30" s="196"/>
      <c r="J30" s="196"/>
      <c r="K30" s="196"/>
      <c r="L30" s="196"/>
      <c r="M30" s="196"/>
      <c r="N30" s="196"/>
      <c r="O30" s="196"/>
      <c r="P30" s="196"/>
      <c r="Q30" s="493">
        <v>19.9985</v>
      </c>
      <c r="R30" s="489">
        <f>(G30)*Q30</f>
        <v>0</v>
      </c>
    </row>
    <row r="31" spans="1:25" ht="20.149999999999999" customHeight="1" x14ac:dyDescent="0.3">
      <c r="A31" s="761" t="s">
        <v>77</v>
      </c>
      <c r="B31" s="609"/>
      <c r="C31" s="609"/>
      <c r="D31" s="609"/>
      <c r="E31" s="609"/>
      <c r="F31" s="609"/>
      <c r="G31" s="608">
        <f t="shared" si="0"/>
        <v>0</v>
      </c>
      <c r="H31" s="409"/>
      <c r="I31" s="2"/>
      <c r="J31" s="2"/>
      <c r="K31" s="2"/>
      <c r="Q31" s="493">
        <v>50.001999999999995</v>
      </c>
      <c r="R31" s="489">
        <f>(G31)*Q31</f>
        <v>0</v>
      </c>
    </row>
    <row r="32" spans="1:25" ht="20.149999999999999" customHeight="1" x14ac:dyDescent="0.3">
      <c r="A32" s="761" t="s">
        <v>78</v>
      </c>
      <c r="B32" s="609"/>
      <c r="C32" s="609"/>
      <c r="D32" s="609"/>
      <c r="E32" s="609"/>
      <c r="F32" s="609"/>
      <c r="G32" s="608">
        <f t="shared" si="0"/>
        <v>0</v>
      </c>
      <c r="H32" s="409"/>
      <c r="I32" s="2"/>
      <c r="J32" s="2"/>
      <c r="K32" s="2"/>
      <c r="Q32" s="494"/>
      <c r="R32" s="495"/>
      <c r="S32" s="504"/>
      <c r="U32" s="633" t="str">
        <f>B8</f>
        <v>WIR 1</v>
      </c>
      <c r="V32" s="633" t="str">
        <f t="shared" ref="V32:Y32" si="2">C8</f>
        <v>WIR 2</v>
      </c>
      <c r="W32" s="633" t="str">
        <f t="shared" si="2"/>
        <v>WIR 3</v>
      </c>
      <c r="X32" s="633" t="str">
        <f t="shared" si="2"/>
        <v>WIR 4</v>
      </c>
      <c r="Y32" s="633" t="str">
        <f t="shared" si="2"/>
        <v>WIR 5</v>
      </c>
    </row>
    <row r="33" spans="1:25" x14ac:dyDescent="0.3">
      <c r="A33" s="12" t="s">
        <v>83</v>
      </c>
      <c r="B33" s="2"/>
      <c r="C33" s="2"/>
      <c r="D33" s="2"/>
      <c r="E33" s="2"/>
      <c r="F33" s="2"/>
      <c r="G33" s="2"/>
      <c r="H33" s="2"/>
      <c r="I33" s="2"/>
      <c r="J33" s="2"/>
      <c r="K33" s="2"/>
      <c r="Q33" s="496" t="s">
        <v>46</v>
      </c>
      <c r="R33" s="489">
        <f>SUM(R9:R31)</f>
        <v>0</v>
      </c>
      <c r="U33" s="634">
        <f>B9*Q9+B10*Q10+B11*Q11+B12*Q12+B13*Q13+B15*Q15+B18*Q18+B19*Q19+B20*Q20+B21*Q21+B22*Q22+B23*Q23+B24*Q24+B25*Q25+B26*Q26+B27*Q27+B28*Q28+B29*Q29+B30*Q30+B31*Q31+Q14*B14+Q16*B16+Q17*B17</f>
        <v>0</v>
      </c>
      <c r="V33" s="634">
        <f>C9*$Q9+C10*$Q10+C11*$Q11+C12*$Q12+C13*$Q13+C15*$Q15+C18*$Q18+C19*$Q19+C20*$Q20+C21*$Q21+C22*Q422+C23*$Q23+C24*$Q24+C25*$Q25+C26*$Q26+C27*$Q27+C28*$Q28+C29*$Q29+C30*$Q30+C31*$Q31+Q22*C22+Q14*C14+Q16*C16+Q17*C17</f>
        <v>0</v>
      </c>
      <c r="W33" s="634">
        <f>D9*$Q9+D10*$Q10+D11*$Q11+D12*$Q12+D13*$Q13+D15*$Q15+D18*$Q18+D19*$Q19+D20*$Q20+D21*$Q21+D22*$Q22+D23*$Q23+D24*$Q24+D25*$Q25+D26*$Q26+D27*$Q27+D28*$Q28+D29*$Q29+D30*$Q30+D31*$Q31+Q14*D14+Q16*D16+Q17*D17</f>
        <v>0</v>
      </c>
      <c r="X33" s="634">
        <f>E9*$Q9+E10*$Q10+E11*$Q11+E12*$Q12+E13*$Q13+E15*$Q15+E18*$Q18+E19*$Q19+E20*$Q20+E21*$Q21+E22*$Q22+E23*$Q23+E24*$Q24+E25*$Q25+E26*$Q26+E27*$Q27+E28*$Q28+E29*$Q29+E30*$Q30+E31*$Q31+Q14*E14+Q16*E16+Q17*E17</f>
        <v>0</v>
      </c>
      <c r="Y33" s="634">
        <f>F9*$Q9+F10*$Q10+F11*$Q11+F12*$Q12+F13*$Q13+F15*$Q15+F18*$Q18+F19*$Q19+F20*$Q20+F21*$Q21+F22*$Q22+F23*$Q23+F24*$Q24+F25*$Q25+F26*$Q26+F27*$Q27+F28*$Q28+F29*$Q29+F30*$Q30+F31*$Q31+Q14*F14+Q16*F16+Q17*F17</f>
        <v>0</v>
      </c>
    </row>
    <row r="34" spans="1:25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25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2"/>
      <c r="L35" s="2"/>
    </row>
    <row r="36" spans="1:25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25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25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25" x14ac:dyDescent="0.3">
      <c r="L39" s="2"/>
    </row>
    <row r="40" spans="1:25" x14ac:dyDescent="0.3">
      <c r="L40" s="2"/>
    </row>
    <row r="41" spans="1:25" x14ac:dyDescent="0.3">
      <c r="L41" s="2"/>
    </row>
    <row r="42" spans="1:25" x14ac:dyDescent="0.3">
      <c r="J42" s="2"/>
      <c r="K42" s="2"/>
      <c r="L42" s="2"/>
    </row>
    <row r="43" spans="1:25" x14ac:dyDescent="0.3">
      <c r="J43" s="2"/>
      <c r="K43" s="2"/>
    </row>
    <row r="44" spans="1:25" x14ac:dyDescent="0.3">
      <c r="J44" s="2"/>
      <c r="K44" s="2"/>
    </row>
    <row r="45" spans="1:25" ht="20.25" customHeight="1" x14ac:dyDescent="0.3"/>
  </sheetData>
  <sheetProtection selectLockedCells="1"/>
  <mergeCells count="20">
    <mergeCell ref="B3:N3"/>
    <mergeCell ref="B4:I4"/>
    <mergeCell ref="L4:N4"/>
    <mergeCell ref="B5:N5"/>
    <mergeCell ref="B6:G6"/>
    <mergeCell ref="K6:M6"/>
    <mergeCell ref="K8:M8"/>
    <mergeCell ref="K12:M12"/>
    <mergeCell ref="K11:M11"/>
    <mergeCell ref="K10:M10"/>
    <mergeCell ref="K9:M9"/>
    <mergeCell ref="K24:M24"/>
    <mergeCell ref="K23:M23"/>
    <mergeCell ref="K13:M13"/>
    <mergeCell ref="K22:M22"/>
    <mergeCell ref="K21:M21"/>
    <mergeCell ref="K20:M20"/>
    <mergeCell ref="K19:M19"/>
    <mergeCell ref="K18:M18"/>
    <mergeCell ref="K15:M15"/>
  </mergeCells>
  <phoneticPr fontId="32" type="noConversion"/>
  <pageMargins left="0.23622047244094491" right="7.874015748031496E-2" top="0.74803149606299213" bottom="0.74803149606299213" header="0.31496062992125984" footer="0.31496062992125984"/>
  <pageSetup paperSize="9" orientation="portrait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63BC53-993A-4E5B-93D9-188ADCC8D3D7}">
          <x14:formula1>
            <xm:f>'Job Details Install'!$O$1:$O$4</xm:f>
          </x14:formula1>
          <xm:sqref>B7:F7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E2DB-FE69-43E1-BE94-CCD5FAFC60FA}">
  <sheetPr>
    <tabColor rgb="FF00B0F0"/>
  </sheetPr>
  <dimension ref="A1:AK57"/>
  <sheetViews>
    <sheetView tabSelected="1" topLeftCell="I11" zoomScale="130" zoomScaleNormal="130" workbookViewId="0">
      <selection activeCell="AO39" sqref="AO39"/>
    </sheetView>
  </sheetViews>
  <sheetFormatPr defaultRowHeight="14.5" x14ac:dyDescent="0.35"/>
  <cols>
    <col min="1" max="1" width="29.81640625" customWidth="1"/>
    <col min="2" max="3" width="16.54296875" customWidth="1"/>
    <col min="4" max="4" width="11.54296875" customWidth="1"/>
    <col min="5" max="5" width="7.81640625" style="88" customWidth="1"/>
    <col min="6" max="6" width="11" customWidth="1"/>
    <col min="7" max="8" width="13.54296875" style="88" customWidth="1"/>
    <col min="9" max="34" width="6.54296875" customWidth="1"/>
  </cols>
  <sheetData>
    <row r="1" spans="1:37" ht="36" customHeight="1" x14ac:dyDescent="0.45">
      <c r="A1" s="155" t="s">
        <v>84</v>
      </c>
      <c r="B1" s="155"/>
      <c r="C1" s="155"/>
      <c r="D1" s="159"/>
      <c r="E1" s="159"/>
      <c r="F1" s="159"/>
      <c r="G1" s="159"/>
      <c r="H1" s="159"/>
      <c r="I1" s="889" t="s">
        <v>441</v>
      </c>
      <c r="J1" s="889"/>
      <c r="K1" s="889"/>
      <c r="L1" s="889"/>
      <c r="M1" s="889"/>
      <c r="N1" s="889"/>
      <c r="O1" s="889"/>
      <c r="P1" s="889"/>
      <c r="Q1" s="889"/>
      <c r="R1" s="889"/>
      <c r="S1" s="889"/>
      <c r="T1" s="889"/>
      <c r="U1" s="889"/>
      <c r="V1" s="888" t="s">
        <v>442</v>
      </c>
      <c r="W1" s="888"/>
      <c r="X1" s="888"/>
      <c r="Y1" s="888"/>
      <c r="Z1" s="888"/>
      <c r="AA1" s="888"/>
      <c r="AB1" s="888"/>
      <c r="AC1" s="888"/>
      <c r="AD1" s="888"/>
      <c r="AE1" s="888"/>
      <c r="AF1" s="888"/>
      <c r="AG1" s="888"/>
      <c r="AH1" s="888"/>
    </row>
    <row r="2" spans="1:37" ht="82.5" x14ac:dyDescent="0.35">
      <c r="A2" s="154"/>
      <c r="B2" s="684" t="s">
        <v>600</v>
      </c>
      <c r="C2" s="340" t="s">
        <v>608</v>
      </c>
      <c r="D2" s="340" t="s">
        <v>85</v>
      </c>
      <c r="E2" s="680" t="s">
        <v>440</v>
      </c>
      <c r="F2" s="677" t="s">
        <v>597</v>
      </c>
      <c r="G2" s="340" t="s">
        <v>46</v>
      </c>
      <c r="H2" s="678" t="s">
        <v>598</v>
      </c>
      <c r="I2" s="396" t="s">
        <v>47</v>
      </c>
      <c r="J2" s="397" t="s">
        <v>49</v>
      </c>
      <c r="K2" s="397" t="s">
        <v>51</v>
      </c>
      <c r="L2" s="397" t="s">
        <v>53</v>
      </c>
      <c r="M2" s="397" t="s">
        <v>55</v>
      </c>
      <c r="N2" s="397" t="s">
        <v>58</v>
      </c>
      <c r="O2" s="397" t="s">
        <v>60</v>
      </c>
      <c r="P2" s="397" t="s">
        <v>62</v>
      </c>
      <c r="Q2" s="397" t="s">
        <v>65</v>
      </c>
      <c r="R2" s="397" t="s">
        <v>67</v>
      </c>
      <c r="S2" s="397" t="s">
        <v>69</v>
      </c>
      <c r="T2" s="397" t="s">
        <v>71</v>
      </c>
      <c r="U2" s="398" t="s">
        <v>73</v>
      </c>
      <c r="V2" s="399" t="s">
        <v>47</v>
      </c>
      <c r="W2" s="400" t="s">
        <v>49</v>
      </c>
      <c r="X2" s="400" t="s">
        <v>51</v>
      </c>
      <c r="Y2" s="400" t="s">
        <v>53</v>
      </c>
      <c r="Z2" s="400" t="s">
        <v>55</v>
      </c>
      <c r="AA2" s="400" t="s">
        <v>58</v>
      </c>
      <c r="AB2" s="400" t="s">
        <v>60</v>
      </c>
      <c r="AC2" s="400" t="s">
        <v>62</v>
      </c>
      <c r="AD2" s="400" t="s">
        <v>65</v>
      </c>
      <c r="AE2" s="400" t="s">
        <v>67</v>
      </c>
      <c r="AF2" s="400" t="s">
        <v>69</v>
      </c>
      <c r="AG2" s="400" t="s">
        <v>71</v>
      </c>
      <c r="AH2" s="401" t="s">
        <v>73</v>
      </c>
    </row>
    <row r="3" spans="1:37" ht="20.149999999999999" customHeight="1" x14ac:dyDescent="0.35">
      <c r="A3" s="517" t="s">
        <v>86</v>
      </c>
      <c r="B3" s="684"/>
      <c r="C3" s="340">
        <v>1200</v>
      </c>
      <c r="D3" s="187">
        <v>285</v>
      </c>
      <c r="E3" s="681"/>
      <c r="F3" s="666">
        <v>30</v>
      </c>
      <c r="G3" s="672">
        <f>D3*E3</f>
        <v>0</v>
      </c>
      <c r="H3" s="672">
        <f>E3*F3</f>
        <v>0</v>
      </c>
      <c r="I3" s="480">
        <f t="shared" ref="I3:I44" si="0">E3*V3</f>
        <v>0</v>
      </c>
      <c r="J3" s="480">
        <f t="shared" ref="J3:J44" si="1">W3*E3</f>
        <v>0</v>
      </c>
      <c r="K3" s="480">
        <f t="shared" ref="K3:K44" si="2">X3*E3</f>
        <v>0</v>
      </c>
      <c r="L3" s="480">
        <f t="shared" ref="L3:L44" si="3">Y3*E3</f>
        <v>0</v>
      </c>
      <c r="M3" s="480">
        <f t="shared" ref="M3:M44" si="4">Z3*E3</f>
        <v>0</v>
      </c>
      <c r="N3" s="480">
        <f t="shared" ref="N3:N44" si="5">AA3*E3</f>
        <v>0</v>
      </c>
      <c r="O3" s="480">
        <f t="shared" ref="O3:O44" si="6">AB3*E3</f>
        <v>0</v>
      </c>
      <c r="P3" s="480">
        <f t="shared" ref="P3:P44" si="7">AC3*E3</f>
        <v>0</v>
      </c>
      <c r="Q3" s="480">
        <f t="shared" ref="Q3:Q44" si="8">AD3*E3</f>
        <v>0</v>
      </c>
      <c r="R3" s="480">
        <f t="shared" ref="R3:R44" si="9">AE3*E3</f>
        <v>0</v>
      </c>
      <c r="S3" s="480">
        <f t="shared" ref="S3:S44" si="10">AF3*E3</f>
        <v>0</v>
      </c>
      <c r="T3" s="480">
        <f t="shared" ref="T3:T44" si="11">AG3*E3</f>
        <v>0</v>
      </c>
      <c r="U3" s="481">
        <f t="shared" ref="U3:U44" si="12">AH3*E3</f>
        <v>0</v>
      </c>
      <c r="V3" s="392">
        <v>0.5</v>
      </c>
      <c r="W3" s="393">
        <v>0.5</v>
      </c>
      <c r="X3" s="393"/>
      <c r="Y3" s="393">
        <v>2</v>
      </c>
      <c r="Z3" s="393"/>
      <c r="AA3" s="393"/>
      <c r="AB3" s="393"/>
      <c r="AC3" s="393">
        <v>2</v>
      </c>
      <c r="AD3" s="393"/>
      <c r="AE3" s="393"/>
      <c r="AF3" s="393"/>
      <c r="AG3" s="393"/>
      <c r="AH3" s="393"/>
    </row>
    <row r="4" spans="1:37" ht="20.149999999999999" customHeight="1" x14ac:dyDescent="0.35">
      <c r="A4" s="517" t="s">
        <v>87</v>
      </c>
      <c r="B4" s="684"/>
      <c r="C4" s="340">
        <v>2400</v>
      </c>
      <c r="D4" s="187">
        <v>535</v>
      </c>
      <c r="E4" s="681"/>
      <c r="F4" s="666">
        <v>112.5</v>
      </c>
      <c r="G4" s="672">
        <f t="shared" ref="G4:G37" si="13">D4*E4</f>
        <v>0</v>
      </c>
      <c r="H4" s="672">
        <f t="shared" ref="H4:H55" si="14">E4*F4</f>
        <v>0</v>
      </c>
      <c r="I4" s="480">
        <f t="shared" si="0"/>
        <v>0</v>
      </c>
      <c r="J4" s="480">
        <f t="shared" si="1"/>
        <v>0</v>
      </c>
      <c r="K4" s="480">
        <f t="shared" si="2"/>
        <v>0</v>
      </c>
      <c r="L4" s="480">
        <f t="shared" si="3"/>
        <v>0</v>
      </c>
      <c r="M4" s="480">
        <f t="shared" si="4"/>
        <v>0</v>
      </c>
      <c r="N4" s="480">
        <f t="shared" si="5"/>
        <v>0</v>
      </c>
      <c r="O4" s="480">
        <f t="shared" si="6"/>
        <v>0</v>
      </c>
      <c r="P4" s="480">
        <f t="shared" si="7"/>
        <v>0</v>
      </c>
      <c r="Q4" s="480">
        <f t="shared" si="8"/>
        <v>0</v>
      </c>
      <c r="R4" s="480">
        <f t="shared" si="9"/>
        <v>0</v>
      </c>
      <c r="S4" s="480">
        <f t="shared" si="10"/>
        <v>0</v>
      </c>
      <c r="T4" s="480">
        <f t="shared" si="11"/>
        <v>0</v>
      </c>
      <c r="U4" s="481">
        <f t="shared" si="12"/>
        <v>0</v>
      </c>
      <c r="V4" s="393">
        <v>1</v>
      </c>
      <c r="W4" s="393">
        <v>1</v>
      </c>
      <c r="X4" s="393"/>
      <c r="Y4" s="393">
        <v>3</v>
      </c>
      <c r="Z4" s="393">
        <v>1</v>
      </c>
      <c r="AA4" s="393"/>
      <c r="AB4" s="393"/>
      <c r="AC4" s="393">
        <v>3</v>
      </c>
      <c r="AD4" s="393"/>
      <c r="AE4" s="393"/>
      <c r="AF4" s="393"/>
      <c r="AG4" s="393"/>
      <c r="AH4" s="393"/>
    </row>
    <row r="5" spans="1:37" ht="20.149999999999999" customHeight="1" x14ac:dyDescent="0.35">
      <c r="A5" s="517" t="s">
        <v>88</v>
      </c>
      <c r="B5" s="684"/>
      <c r="C5" s="340">
        <v>1825</v>
      </c>
      <c r="D5" s="187">
        <v>495</v>
      </c>
      <c r="E5" s="681"/>
      <c r="F5" s="666">
        <v>97.5</v>
      </c>
      <c r="G5" s="672">
        <f t="shared" si="13"/>
        <v>0</v>
      </c>
      <c r="H5" s="672">
        <f t="shared" si="14"/>
        <v>0</v>
      </c>
      <c r="I5" s="480">
        <f t="shared" si="0"/>
        <v>0</v>
      </c>
      <c r="J5" s="480">
        <f t="shared" si="1"/>
        <v>0</v>
      </c>
      <c r="K5" s="480">
        <f t="shared" si="2"/>
        <v>0</v>
      </c>
      <c r="L5" s="480">
        <f t="shared" si="3"/>
        <v>0</v>
      </c>
      <c r="M5" s="480">
        <f t="shared" si="4"/>
        <v>0</v>
      </c>
      <c r="N5" s="480">
        <f t="shared" si="5"/>
        <v>0</v>
      </c>
      <c r="O5" s="480">
        <f t="shared" si="6"/>
        <v>0</v>
      </c>
      <c r="P5" s="480">
        <f t="shared" si="7"/>
        <v>0</v>
      </c>
      <c r="Q5" s="480">
        <f t="shared" si="8"/>
        <v>0</v>
      </c>
      <c r="R5" s="480">
        <f t="shared" si="9"/>
        <v>0</v>
      </c>
      <c r="S5" s="480">
        <f t="shared" si="10"/>
        <v>0</v>
      </c>
      <c r="T5" s="480">
        <f t="shared" si="11"/>
        <v>0</v>
      </c>
      <c r="U5" s="481">
        <f t="shared" si="12"/>
        <v>0</v>
      </c>
      <c r="V5" s="393">
        <v>1</v>
      </c>
      <c r="W5" s="393">
        <v>1</v>
      </c>
      <c r="X5" s="393"/>
      <c r="Y5" s="393">
        <v>3</v>
      </c>
      <c r="Z5" s="393"/>
      <c r="AA5" s="393">
        <v>1</v>
      </c>
      <c r="AB5" s="393"/>
      <c r="AC5" s="393">
        <v>2</v>
      </c>
      <c r="AD5" s="393">
        <v>1</v>
      </c>
      <c r="AE5" s="393"/>
      <c r="AF5" s="393"/>
      <c r="AG5" s="393"/>
      <c r="AH5" s="393"/>
    </row>
    <row r="6" spans="1:37" ht="20.149999999999999" customHeight="1" x14ac:dyDescent="0.35">
      <c r="A6" s="517" t="s">
        <v>89</v>
      </c>
      <c r="B6" s="684"/>
      <c r="C6" s="340">
        <v>1675</v>
      </c>
      <c r="D6" s="187">
        <v>495</v>
      </c>
      <c r="E6" s="681"/>
      <c r="F6" s="666">
        <v>97.5</v>
      </c>
      <c r="G6" s="672">
        <f t="shared" si="13"/>
        <v>0</v>
      </c>
      <c r="H6" s="672">
        <f t="shared" si="14"/>
        <v>0</v>
      </c>
      <c r="I6" s="480">
        <f t="shared" si="0"/>
        <v>0</v>
      </c>
      <c r="J6" s="480">
        <f t="shared" si="1"/>
        <v>0</v>
      </c>
      <c r="K6" s="480">
        <f t="shared" si="2"/>
        <v>0</v>
      </c>
      <c r="L6" s="480">
        <f t="shared" si="3"/>
        <v>0</v>
      </c>
      <c r="M6" s="480">
        <f t="shared" si="4"/>
        <v>0</v>
      </c>
      <c r="N6" s="480">
        <f t="shared" si="5"/>
        <v>0</v>
      </c>
      <c r="O6" s="480">
        <f t="shared" si="6"/>
        <v>0</v>
      </c>
      <c r="P6" s="480">
        <f t="shared" si="7"/>
        <v>0</v>
      </c>
      <c r="Q6" s="480">
        <f t="shared" si="8"/>
        <v>0</v>
      </c>
      <c r="R6" s="480">
        <f t="shared" si="9"/>
        <v>0</v>
      </c>
      <c r="S6" s="480">
        <f t="shared" si="10"/>
        <v>0</v>
      </c>
      <c r="T6" s="480">
        <f t="shared" si="11"/>
        <v>0</v>
      </c>
      <c r="U6" s="481">
        <f t="shared" si="12"/>
        <v>0</v>
      </c>
      <c r="V6" s="393">
        <v>1</v>
      </c>
      <c r="W6" s="393">
        <v>1</v>
      </c>
      <c r="X6" s="393"/>
      <c r="Y6" s="393">
        <v>3</v>
      </c>
      <c r="Z6" s="393"/>
      <c r="AA6" s="393"/>
      <c r="AB6" s="393">
        <v>1</v>
      </c>
      <c r="AC6" s="393">
        <v>2</v>
      </c>
      <c r="AD6" s="393"/>
      <c r="AE6" s="393">
        <v>1</v>
      </c>
      <c r="AF6" s="393"/>
      <c r="AG6" s="393"/>
      <c r="AH6" s="393"/>
    </row>
    <row r="7" spans="1:37" ht="20.149999999999999" customHeight="1" x14ac:dyDescent="0.35">
      <c r="A7" s="517" t="s">
        <v>90</v>
      </c>
      <c r="B7" s="684"/>
      <c r="C7" s="340">
        <v>1825</v>
      </c>
      <c r="D7" s="187">
        <v>695</v>
      </c>
      <c r="E7" s="681"/>
      <c r="F7" s="666">
        <v>147.5</v>
      </c>
      <c r="G7" s="672">
        <f t="shared" si="13"/>
        <v>0</v>
      </c>
      <c r="H7" s="672">
        <f t="shared" si="14"/>
        <v>0</v>
      </c>
      <c r="I7" s="480">
        <f t="shared" si="0"/>
        <v>0</v>
      </c>
      <c r="J7" s="480">
        <f t="shared" si="1"/>
        <v>0</v>
      </c>
      <c r="K7" s="480">
        <f t="shared" si="2"/>
        <v>0</v>
      </c>
      <c r="L7" s="480">
        <f t="shared" si="3"/>
        <v>0</v>
      </c>
      <c r="M7" s="480">
        <f t="shared" si="4"/>
        <v>0</v>
      </c>
      <c r="N7" s="480">
        <f t="shared" si="5"/>
        <v>0</v>
      </c>
      <c r="O7" s="480">
        <f t="shared" si="6"/>
        <v>0</v>
      </c>
      <c r="P7" s="480">
        <f t="shared" si="7"/>
        <v>0</v>
      </c>
      <c r="Q7" s="480">
        <f t="shared" si="8"/>
        <v>0</v>
      </c>
      <c r="R7" s="480">
        <f t="shared" si="9"/>
        <v>0</v>
      </c>
      <c r="S7" s="480">
        <f t="shared" si="10"/>
        <v>0</v>
      </c>
      <c r="T7" s="480">
        <f t="shared" si="11"/>
        <v>0</v>
      </c>
      <c r="U7" s="481">
        <f t="shared" si="12"/>
        <v>0</v>
      </c>
      <c r="V7" s="393">
        <v>1</v>
      </c>
      <c r="W7" s="393">
        <v>1</v>
      </c>
      <c r="X7" s="393">
        <v>2</v>
      </c>
      <c r="Y7" s="393">
        <v>1</v>
      </c>
      <c r="Z7" s="393"/>
      <c r="AA7" s="393">
        <v>6</v>
      </c>
      <c r="AB7" s="393"/>
      <c r="AC7" s="393">
        <v>2</v>
      </c>
      <c r="AD7" s="393"/>
      <c r="AE7" s="393"/>
      <c r="AF7" s="393"/>
      <c r="AG7" s="393"/>
      <c r="AH7" s="393"/>
    </row>
    <row r="8" spans="1:37" ht="20.149999999999999" customHeight="1" x14ac:dyDescent="0.35">
      <c r="A8" s="517" t="s">
        <v>91</v>
      </c>
      <c r="B8" s="684"/>
      <c r="C8" s="340">
        <v>1675</v>
      </c>
      <c r="D8" s="187">
        <v>695</v>
      </c>
      <c r="E8" s="681"/>
      <c r="F8" s="666">
        <v>147.5</v>
      </c>
      <c r="G8" s="672">
        <f t="shared" si="13"/>
        <v>0</v>
      </c>
      <c r="H8" s="672">
        <f t="shared" si="14"/>
        <v>0</v>
      </c>
      <c r="I8" s="480">
        <f t="shared" si="0"/>
        <v>0</v>
      </c>
      <c r="J8" s="480">
        <f t="shared" si="1"/>
        <v>0</v>
      </c>
      <c r="K8" s="480">
        <f t="shared" si="2"/>
        <v>0</v>
      </c>
      <c r="L8" s="480">
        <f t="shared" si="3"/>
        <v>0</v>
      </c>
      <c r="M8" s="480">
        <f t="shared" si="4"/>
        <v>0</v>
      </c>
      <c r="N8" s="480">
        <f t="shared" si="5"/>
        <v>0</v>
      </c>
      <c r="O8" s="480">
        <f t="shared" si="6"/>
        <v>0</v>
      </c>
      <c r="P8" s="480">
        <f t="shared" si="7"/>
        <v>0</v>
      </c>
      <c r="Q8" s="480">
        <f t="shared" si="8"/>
        <v>0</v>
      </c>
      <c r="R8" s="480">
        <f t="shared" si="9"/>
        <v>0</v>
      </c>
      <c r="S8" s="480">
        <f t="shared" si="10"/>
        <v>0</v>
      </c>
      <c r="T8" s="480">
        <f t="shared" si="11"/>
        <v>0</v>
      </c>
      <c r="U8" s="481">
        <f t="shared" si="12"/>
        <v>0</v>
      </c>
      <c r="V8" s="393">
        <v>1</v>
      </c>
      <c r="W8" s="393">
        <v>1</v>
      </c>
      <c r="X8" s="393">
        <v>2</v>
      </c>
      <c r="Y8" s="393">
        <v>1</v>
      </c>
      <c r="Z8" s="393"/>
      <c r="AA8" s="393"/>
      <c r="AB8" s="393">
        <v>6</v>
      </c>
      <c r="AC8" s="393">
        <v>2</v>
      </c>
      <c r="AD8" s="393"/>
      <c r="AE8" s="393"/>
      <c r="AF8" s="393"/>
      <c r="AG8" s="393"/>
      <c r="AH8" s="393"/>
    </row>
    <row r="9" spans="1:37" ht="20.149999999999999" customHeight="1" x14ac:dyDescent="0.35">
      <c r="A9" s="517" t="s">
        <v>92</v>
      </c>
      <c r="B9" s="684"/>
      <c r="C9" s="340">
        <v>1825</v>
      </c>
      <c r="D9" s="187">
        <v>985</v>
      </c>
      <c r="E9" s="681"/>
      <c r="F9" s="666">
        <v>162.5</v>
      </c>
      <c r="G9" s="672">
        <f t="shared" si="13"/>
        <v>0</v>
      </c>
      <c r="H9" s="672">
        <f t="shared" si="14"/>
        <v>0</v>
      </c>
      <c r="I9" s="480">
        <f t="shared" si="0"/>
        <v>0</v>
      </c>
      <c r="J9" s="480">
        <f t="shared" si="1"/>
        <v>0</v>
      </c>
      <c r="K9" s="480">
        <f t="shared" si="2"/>
        <v>0</v>
      </c>
      <c r="L9" s="480">
        <f t="shared" si="3"/>
        <v>0</v>
      </c>
      <c r="M9" s="480">
        <f t="shared" si="4"/>
        <v>0</v>
      </c>
      <c r="N9" s="480">
        <f t="shared" si="5"/>
        <v>0</v>
      </c>
      <c r="O9" s="480">
        <f t="shared" si="6"/>
        <v>0</v>
      </c>
      <c r="P9" s="480">
        <f t="shared" si="7"/>
        <v>0</v>
      </c>
      <c r="Q9" s="480">
        <f t="shared" si="8"/>
        <v>0</v>
      </c>
      <c r="R9" s="480">
        <f t="shared" si="9"/>
        <v>0</v>
      </c>
      <c r="S9" s="480">
        <f t="shared" si="10"/>
        <v>0</v>
      </c>
      <c r="T9" s="480">
        <f t="shared" si="11"/>
        <v>0</v>
      </c>
      <c r="U9" s="481">
        <f t="shared" si="12"/>
        <v>0</v>
      </c>
      <c r="V9" s="393">
        <v>1</v>
      </c>
      <c r="W9" s="393">
        <v>1</v>
      </c>
      <c r="X9" s="393">
        <v>2</v>
      </c>
      <c r="Y9" s="393">
        <v>1</v>
      </c>
      <c r="Z9" s="393"/>
      <c r="AA9" s="393">
        <v>4</v>
      </c>
      <c r="AB9" s="393"/>
      <c r="AC9" s="393">
        <v>2</v>
      </c>
      <c r="AD9" s="393"/>
      <c r="AE9" s="393"/>
      <c r="AF9" s="393"/>
      <c r="AG9" s="393">
        <v>1</v>
      </c>
      <c r="AH9" s="393"/>
    </row>
    <row r="10" spans="1:37" ht="20.149999999999999" customHeight="1" x14ac:dyDescent="0.35">
      <c r="A10" s="517" t="s">
        <v>93</v>
      </c>
      <c r="B10" s="684"/>
      <c r="C10" s="340">
        <v>1825</v>
      </c>
      <c r="D10" s="187">
        <v>1275</v>
      </c>
      <c r="E10" s="681"/>
      <c r="F10" s="666">
        <v>182.5</v>
      </c>
      <c r="G10" s="672">
        <f t="shared" si="13"/>
        <v>0</v>
      </c>
      <c r="H10" s="672">
        <f t="shared" si="14"/>
        <v>0</v>
      </c>
      <c r="I10" s="480">
        <f t="shared" si="0"/>
        <v>0</v>
      </c>
      <c r="J10" s="480">
        <f t="shared" si="1"/>
        <v>0</v>
      </c>
      <c r="K10" s="480">
        <f t="shared" si="2"/>
        <v>0</v>
      </c>
      <c r="L10" s="480">
        <f t="shared" si="3"/>
        <v>0</v>
      </c>
      <c r="M10" s="480">
        <f t="shared" si="4"/>
        <v>0</v>
      </c>
      <c r="N10" s="480">
        <f t="shared" si="5"/>
        <v>0</v>
      </c>
      <c r="O10" s="480">
        <f t="shared" si="6"/>
        <v>0</v>
      </c>
      <c r="P10" s="480">
        <f t="shared" si="7"/>
        <v>0</v>
      </c>
      <c r="Q10" s="480">
        <f t="shared" si="8"/>
        <v>0</v>
      </c>
      <c r="R10" s="480">
        <f t="shared" si="9"/>
        <v>0</v>
      </c>
      <c r="S10" s="480">
        <f t="shared" si="10"/>
        <v>0</v>
      </c>
      <c r="T10" s="480">
        <f t="shared" si="11"/>
        <v>0</v>
      </c>
      <c r="U10" s="481">
        <f t="shared" si="12"/>
        <v>0</v>
      </c>
      <c r="V10" s="393">
        <v>1</v>
      </c>
      <c r="W10" s="393">
        <v>1</v>
      </c>
      <c r="X10" s="393">
        <v>2</v>
      </c>
      <c r="Y10" s="393">
        <v>1</v>
      </c>
      <c r="Z10" s="393"/>
      <c r="AA10" s="393">
        <v>2</v>
      </c>
      <c r="AB10" s="393"/>
      <c r="AC10" s="393">
        <v>2</v>
      </c>
      <c r="AD10" s="393"/>
      <c r="AE10" s="393"/>
      <c r="AF10" s="393"/>
      <c r="AG10" s="393">
        <v>2</v>
      </c>
      <c r="AH10" s="393"/>
    </row>
    <row r="11" spans="1:37" ht="20.149999999999999" customHeight="1" x14ac:dyDescent="0.35">
      <c r="A11" s="517" t="s">
        <v>94</v>
      </c>
      <c r="B11" s="684"/>
      <c r="C11" s="340">
        <v>1675</v>
      </c>
      <c r="D11" s="187">
        <v>985</v>
      </c>
      <c r="E11" s="681"/>
      <c r="F11" s="666">
        <v>162.5</v>
      </c>
      <c r="G11" s="672">
        <f t="shared" si="13"/>
        <v>0</v>
      </c>
      <c r="H11" s="672">
        <f t="shared" si="14"/>
        <v>0</v>
      </c>
      <c r="I11" s="480">
        <f t="shared" si="0"/>
        <v>0</v>
      </c>
      <c r="J11" s="480">
        <f t="shared" si="1"/>
        <v>0</v>
      </c>
      <c r="K11" s="480">
        <f t="shared" si="2"/>
        <v>0</v>
      </c>
      <c r="L11" s="480">
        <f t="shared" si="3"/>
        <v>0</v>
      </c>
      <c r="M11" s="480">
        <f t="shared" si="4"/>
        <v>0</v>
      </c>
      <c r="N11" s="480">
        <f t="shared" si="5"/>
        <v>0</v>
      </c>
      <c r="O11" s="480">
        <f t="shared" si="6"/>
        <v>0</v>
      </c>
      <c r="P11" s="480">
        <f t="shared" si="7"/>
        <v>0</v>
      </c>
      <c r="Q11" s="480">
        <f t="shared" si="8"/>
        <v>0</v>
      </c>
      <c r="R11" s="480">
        <f t="shared" si="9"/>
        <v>0</v>
      </c>
      <c r="S11" s="480">
        <f t="shared" si="10"/>
        <v>0</v>
      </c>
      <c r="T11" s="480">
        <f t="shared" si="11"/>
        <v>0</v>
      </c>
      <c r="U11" s="481">
        <f t="shared" si="12"/>
        <v>0</v>
      </c>
      <c r="V11" s="393">
        <v>1</v>
      </c>
      <c r="W11" s="393">
        <v>1</v>
      </c>
      <c r="X11" s="393">
        <v>2</v>
      </c>
      <c r="Y11" s="393">
        <v>1</v>
      </c>
      <c r="Z11" s="393"/>
      <c r="AA11" s="393"/>
      <c r="AB11" s="393">
        <v>4</v>
      </c>
      <c r="AC11" s="393">
        <v>2</v>
      </c>
      <c r="AD11" s="393"/>
      <c r="AE11" s="393"/>
      <c r="AF11" s="393">
        <v>1</v>
      </c>
      <c r="AG11" s="393"/>
      <c r="AH11" s="393"/>
      <c r="AK11" s="341"/>
    </row>
    <row r="12" spans="1:37" ht="20.149999999999999" customHeight="1" x14ac:dyDescent="0.35">
      <c r="A12" s="517" t="s">
        <v>95</v>
      </c>
      <c r="B12" s="684"/>
      <c r="C12" s="340">
        <v>1675</v>
      </c>
      <c r="D12" s="187">
        <v>1225</v>
      </c>
      <c r="E12" s="681"/>
      <c r="F12" s="666">
        <v>182.5</v>
      </c>
      <c r="G12" s="672">
        <f t="shared" si="13"/>
        <v>0</v>
      </c>
      <c r="H12" s="672">
        <f t="shared" si="14"/>
        <v>0</v>
      </c>
      <c r="I12" s="480">
        <f t="shared" si="0"/>
        <v>0</v>
      </c>
      <c r="J12" s="480">
        <f t="shared" si="1"/>
        <v>0</v>
      </c>
      <c r="K12" s="480">
        <f t="shared" si="2"/>
        <v>0</v>
      </c>
      <c r="L12" s="480">
        <f t="shared" si="3"/>
        <v>0</v>
      </c>
      <c r="M12" s="480">
        <f t="shared" si="4"/>
        <v>0</v>
      </c>
      <c r="N12" s="480">
        <f t="shared" si="5"/>
        <v>0</v>
      </c>
      <c r="O12" s="480">
        <f t="shared" si="6"/>
        <v>0</v>
      </c>
      <c r="P12" s="480">
        <f t="shared" si="7"/>
        <v>0</v>
      </c>
      <c r="Q12" s="480">
        <f t="shared" si="8"/>
        <v>0</v>
      </c>
      <c r="R12" s="480">
        <f t="shared" si="9"/>
        <v>0</v>
      </c>
      <c r="S12" s="480">
        <f t="shared" si="10"/>
        <v>0</v>
      </c>
      <c r="T12" s="480">
        <f t="shared" si="11"/>
        <v>0</v>
      </c>
      <c r="U12" s="481">
        <f t="shared" si="12"/>
        <v>0</v>
      </c>
      <c r="V12" s="393">
        <v>1</v>
      </c>
      <c r="W12" s="393">
        <v>1</v>
      </c>
      <c r="X12" s="393">
        <v>2</v>
      </c>
      <c r="Y12" s="393">
        <v>1</v>
      </c>
      <c r="Z12" s="393"/>
      <c r="AA12" s="393"/>
      <c r="AB12" s="393">
        <v>2</v>
      </c>
      <c r="AC12" s="393">
        <v>2</v>
      </c>
      <c r="AD12" s="393"/>
      <c r="AE12" s="393"/>
      <c r="AF12" s="393">
        <v>2</v>
      </c>
      <c r="AG12" s="393"/>
      <c r="AH12" s="393"/>
    </row>
    <row r="13" spans="1:37" ht="20.149999999999999" customHeight="1" x14ac:dyDescent="0.35">
      <c r="A13" s="517" t="s">
        <v>96</v>
      </c>
      <c r="B13" s="684"/>
      <c r="C13" s="340">
        <v>2400</v>
      </c>
      <c r="D13" s="187">
        <v>815</v>
      </c>
      <c r="E13" s="681"/>
      <c r="F13" s="666">
        <v>180</v>
      </c>
      <c r="G13" s="672">
        <f t="shared" si="13"/>
        <v>0</v>
      </c>
      <c r="H13" s="672">
        <f t="shared" si="14"/>
        <v>0</v>
      </c>
      <c r="I13" s="480">
        <f t="shared" si="0"/>
        <v>0</v>
      </c>
      <c r="J13" s="480">
        <f t="shared" si="1"/>
        <v>0</v>
      </c>
      <c r="K13" s="480">
        <f t="shared" si="2"/>
        <v>0</v>
      </c>
      <c r="L13" s="480">
        <f t="shared" si="3"/>
        <v>0</v>
      </c>
      <c r="M13" s="480">
        <f t="shared" si="4"/>
        <v>0</v>
      </c>
      <c r="N13" s="480">
        <f t="shared" si="5"/>
        <v>0</v>
      </c>
      <c r="O13" s="480">
        <f t="shared" si="6"/>
        <v>0</v>
      </c>
      <c r="P13" s="480">
        <f t="shared" si="7"/>
        <v>0</v>
      </c>
      <c r="Q13" s="480">
        <f t="shared" si="8"/>
        <v>0</v>
      </c>
      <c r="R13" s="480">
        <f t="shared" si="9"/>
        <v>0</v>
      </c>
      <c r="S13" s="480">
        <f t="shared" si="10"/>
        <v>0</v>
      </c>
      <c r="T13" s="480">
        <f t="shared" si="11"/>
        <v>0</v>
      </c>
      <c r="U13" s="481">
        <f t="shared" si="12"/>
        <v>0</v>
      </c>
      <c r="V13" s="393">
        <v>1</v>
      </c>
      <c r="W13" s="393">
        <v>1</v>
      </c>
      <c r="X13" s="393">
        <v>2</v>
      </c>
      <c r="Y13" s="393">
        <v>2</v>
      </c>
      <c r="Z13" s="393"/>
      <c r="AA13" s="393">
        <v>7</v>
      </c>
      <c r="AB13" s="393"/>
      <c r="AC13" s="393">
        <v>2</v>
      </c>
      <c r="AD13" s="393">
        <v>1</v>
      </c>
      <c r="AE13" s="393"/>
      <c r="AF13" s="393"/>
      <c r="AG13" s="393"/>
      <c r="AH13" s="393"/>
    </row>
    <row r="14" spans="1:37" ht="20.149999999999999" customHeight="1" x14ac:dyDescent="0.35">
      <c r="A14" s="517" t="s">
        <v>97</v>
      </c>
      <c r="B14" s="684"/>
      <c r="C14" s="340">
        <f>2400-150</f>
        <v>2250</v>
      </c>
      <c r="D14" s="187">
        <v>815</v>
      </c>
      <c r="E14" s="681"/>
      <c r="F14" s="666">
        <v>180</v>
      </c>
      <c r="G14" s="672">
        <f t="shared" si="13"/>
        <v>0</v>
      </c>
      <c r="H14" s="672">
        <f t="shared" si="14"/>
        <v>0</v>
      </c>
      <c r="I14" s="480">
        <f t="shared" si="0"/>
        <v>0</v>
      </c>
      <c r="J14" s="480">
        <f t="shared" si="1"/>
        <v>0</v>
      </c>
      <c r="K14" s="480">
        <f t="shared" si="2"/>
        <v>0</v>
      </c>
      <c r="L14" s="480">
        <f t="shared" si="3"/>
        <v>0</v>
      </c>
      <c r="M14" s="480">
        <f t="shared" si="4"/>
        <v>0</v>
      </c>
      <c r="N14" s="480">
        <f t="shared" si="5"/>
        <v>0</v>
      </c>
      <c r="O14" s="480">
        <f t="shared" si="6"/>
        <v>0</v>
      </c>
      <c r="P14" s="480">
        <f t="shared" si="7"/>
        <v>0</v>
      </c>
      <c r="Q14" s="480">
        <f t="shared" si="8"/>
        <v>0</v>
      </c>
      <c r="R14" s="480">
        <f t="shared" si="9"/>
        <v>0</v>
      </c>
      <c r="S14" s="480">
        <f t="shared" si="10"/>
        <v>0</v>
      </c>
      <c r="T14" s="480">
        <f t="shared" si="11"/>
        <v>0</v>
      </c>
      <c r="U14" s="481">
        <f t="shared" si="12"/>
        <v>0</v>
      </c>
      <c r="V14" s="393">
        <v>1</v>
      </c>
      <c r="W14" s="393">
        <v>1</v>
      </c>
      <c r="X14" s="393">
        <v>2</v>
      </c>
      <c r="Y14" s="393">
        <v>2</v>
      </c>
      <c r="Z14" s="393"/>
      <c r="AA14" s="393">
        <v>6</v>
      </c>
      <c r="AB14" s="393">
        <v>1</v>
      </c>
      <c r="AC14" s="393">
        <v>2</v>
      </c>
      <c r="AD14" s="394"/>
      <c r="AE14" s="393">
        <v>1</v>
      </c>
      <c r="AF14" s="393"/>
      <c r="AG14" s="393"/>
      <c r="AH14" s="393"/>
    </row>
    <row r="15" spans="1:37" ht="20.149999999999999" customHeight="1" x14ac:dyDescent="0.35">
      <c r="A15" s="517" t="s">
        <v>98</v>
      </c>
      <c r="B15" s="684"/>
      <c r="C15" s="340">
        <f>C14-150</f>
        <v>2100</v>
      </c>
      <c r="D15" s="187">
        <v>815</v>
      </c>
      <c r="E15" s="681"/>
      <c r="F15" s="666">
        <v>180</v>
      </c>
      <c r="G15" s="672">
        <f t="shared" si="13"/>
        <v>0</v>
      </c>
      <c r="H15" s="672">
        <f t="shared" si="14"/>
        <v>0</v>
      </c>
      <c r="I15" s="480">
        <f t="shared" si="0"/>
        <v>0</v>
      </c>
      <c r="J15" s="480">
        <f t="shared" si="1"/>
        <v>0</v>
      </c>
      <c r="K15" s="480">
        <f t="shared" si="2"/>
        <v>0</v>
      </c>
      <c r="L15" s="480">
        <f t="shared" si="3"/>
        <v>0</v>
      </c>
      <c r="M15" s="480">
        <f t="shared" si="4"/>
        <v>0</v>
      </c>
      <c r="N15" s="480">
        <f t="shared" si="5"/>
        <v>0</v>
      </c>
      <c r="O15" s="480">
        <f t="shared" si="6"/>
        <v>0</v>
      </c>
      <c r="P15" s="480">
        <f t="shared" si="7"/>
        <v>0</v>
      </c>
      <c r="Q15" s="480">
        <f t="shared" si="8"/>
        <v>0</v>
      </c>
      <c r="R15" s="480">
        <f t="shared" si="9"/>
        <v>0</v>
      </c>
      <c r="S15" s="480">
        <f t="shared" si="10"/>
        <v>0</v>
      </c>
      <c r="T15" s="480">
        <f t="shared" si="11"/>
        <v>0</v>
      </c>
      <c r="U15" s="481">
        <f t="shared" si="12"/>
        <v>0</v>
      </c>
      <c r="V15" s="393">
        <v>1</v>
      </c>
      <c r="W15" s="393">
        <v>1</v>
      </c>
      <c r="X15" s="393">
        <v>2</v>
      </c>
      <c r="Y15" s="393">
        <v>2</v>
      </c>
      <c r="Z15" s="393"/>
      <c r="AA15" s="393"/>
      <c r="AB15" s="393">
        <v>7</v>
      </c>
      <c r="AC15" s="393">
        <v>2</v>
      </c>
      <c r="AD15" s="394"/>
      <c r="AE15" s="393">
        <v>1</v>
      </c>
      <c r="AF15" s="393"/>
      <c r="AG15" s="393"/>
      <c r="AH15" s="393"/>
    </row>
    <row r="16" spans="1:37" ht="20.149999999999999" customHeight="1" x14ac:dyDescent="0.35">
      <c r="A16" s="517" t="s">
        <v>99</v>
      </c>
      <c r="B16" s="684"/>
      <c r="C16" s="340">
        <v>2250</v>
      </c>
      <c r="D16" s="187">
        <v>815</v>
      </c>
      <c r="E16" s="681"/>
      <c r="F16" s="666">
        <v>180</v>
      </c>
      <c r="G16" s="672">
        <f t="shared" si="13"/>
        <v>0</v>
      </c>
      <c r="H16" s="672">
        <f t="shared" si="14"/>
        <v>0</v>
      </c>
      <c r="I16" s="480">
        <f t="shared" si="0"/>
        <v>0</v>
      </c>
      <c r="J16" s="480">
        <f t="shared" si="1"/>
        <v>0</v>
      </c>
      <c r="K16" s="480">
        <f t="shared" si="2"/>
        <v>0</v>
      </c>
      <c r="L16" s="480">
        <f t="shared" si="3"/>
        <v>0</v>
      </c>
      <c r="M16" s="480">
        <f t="shared" si="4"/>
        <v>0</v>
      </c>
      <c r="N16" s="480">
        <f t="shared" si="5"/>
        <v>0</v>
      </c>
      <c r="O16" s="480">
        <f t="shared" si="6"/>
        <v>0</v>
      </c>
      <c r="P16" s="480">
        <f t="shared" si="7"/>
        <v>0</v>
      </c>
      <c r="Q16" s="480">
        <f t="shared" si="8"/>
        <v>0</v>
      </c>
      <c r="R16" s="480">
        <f t="shared" si="9"/>
        <v>0</v>
      </c>
      <c r="S16" s="480">
        <f t="shared" si="10"/>
        <v>0</v>
      </c>
      <c r="T16" s="480">
        <f t="shared" si="11"/>
        <v>0</v>
      </c>
      <c r="U16" s="480">
        <f t="shared" si="12"/>
        <v>0</v>
      </c>
      <c r="V16" s="393">
        <v>1</v>
      </c>
      <c r="W16" s="393">
        <v>1</v>
      </c>
      <c r="X16" s="393">
        <v>2</v>
      </c>
      <c r="Y16" s="393">
        <v>2</v>
      </c>
      <c r="Z16" s="393"/>
      <c r="AA16" s="393">
        <v>1</v>
      </c>
      <c r="AB16" s="393">
        <v>6</v>
      </c>
      <c r="AC16" s="393">
        <v>2</v>
      </c>
      <c r="AD16" s="393">
        <v>1</v>
      </c>
      <c r="AE16" s="393"/>
      <c r="AF16" s="393"/>
      <c r="AG16" s="393"/>
      <c r="AH16" s="393"/>
    </row>
    <row r="17" spans="1:34" ht="20.149999999999999" customHeight="1" x14ac:dyDescent="0.35">
      <c r="A17" s="517" t="s">
        <v>100</v>
      </c>
      <c r="B17" s="684"/>
      <c r="C17" s="340">
        <v>2400</v>
      </c>
      <c r="D17" s="187">
        <v>1125</v>
      </c>
      <c r="E17" s="681"/>
      <c r="F17" s="666">
        <v>195</v>
      </c>
      <c r="G17" s="672">
        <f t="shared" si="13"/>
        <v>0</v>
      </c>
      <c r="H17" s="672">
        <f t="shared" si="14"/>
        <v>0</v>
      </c>
      <c r="I17" s="480">
        <f t="shared" si="0"/>
        <v>0</v>
      </c>
      <c r="J17" s="480">
        <f t="shared" si="1"/>
        <v>0</v>
      </c>
      <c r="K17" s="480">
        <f t="shared" si="2"/>
        <v>0</v>
      </c>
      <c r="L17" s="480">
        <f t="shared" si="3"/>
        <v>0</v>
      </c>
      <c r="M17" s="480">
        <f t="shared" si="4"/>
        <v>0</v>
      </c>
      <c r="N17" s="480">
        <f t="shared" si="5"/>
        <v>0</v>
      </c>
      <c r="O17" s="480">
        <f t="shared" si="6"/>
        <v>0</v>
      </c>
      <c r="P17" s="480">
        <f t="shared" si="7"/>
        <v>0</v>
      </c>
      <c r="Q17" s="480">
        <f t="shared" si="8"/>
        <v>0</v>
      </c>
      <c r="R17" s="480">
        <f t="shared" si="9"/>
        <v>0</v>
      </c>
      <c r="S17" s="480">
        <f t="shared" si="10"/>
        <v>0</v>
      </c>
      <c r="T17" s="480">
        <f t="shared" si="11"/>
        <v>0</v>
      </c>
      <c r="U17" s="481">
        <f t="shared" si="12"/>
        <v>0</v>
      </c>
      <c r="V17" s="393">
        <v>1</v>
      </c>
      <c r="W17" s="393">
        <v>1</v>
      </c>
      <c r="X17" s="393">
        <v>2</v>
      </c>
      <c r="Y17" s="393">
        <v>2</v>
      </c>
      <c r="Z17" s="393"/>
      <c r="AA17" s="393">
        <v>5</v>
      </c>
      <c r="AB17" s="393"/>
      <c r="AC17" s="393">
        <v>2</v>
      </c>
      <c r="AD17" s="393">
        <v>1</v>
      </c>
      <c r="AE17" s="393"/>
      <c r="AF17" s="393"/>
      <c r="AG17" s="393">
        <v>1</v>
      </c>
      <c r="AH17" s="393"/>
    </row>
    <row r="18" spans="1:34" ht="20.149999999999999" customHeight="1" x14ac:dyDescent="0.35">
      <c r="A18" s="517" t="s">
        <v>101</v>
      </c>
      <c r="B18" s="684"/>
      <c r="C18" s="340">
        <v>2400</v>
      </c>
      <c r="D18" s="187">
        <v>1325</v>
      </c>
      <c r="E18" s="681"/>
      <c r="F18" s="666">
        <v>215</v>
      </c>
      <c r="G18" s="672">
        <f t="shared" si="13"/>
        <v>0</v>
      </c>
      <c r="H18" s="672">
        <f t="shared" si="14"/>
        <v>0</v>
      </c>
      <c r="I18" s="480">
        <f t="shared" si="0"/>
        <v>0</v>
      </c>
      <c r="J18" s="480">
        <f t="shared" si="1"/>
        <v>0</v>
      </c>
      <c r="K18" s="480">
        <f t="shared" si="2"/>
        <v>0</v>
      </c>
      <c r="L18" s="480">
        <f t="shared" si="3"/>
        <v>0</v>
      </c>
      <c r="M18" s="480">
        <f t="shared" si="4"/>
        <v>0</v>
      </c>
      <c r="N18" s="480">
        <f t="shared" si="5"/>
        <v>0</v>
      </c>
      <c r="O18" s="480">
        <f t="shared" si="6"/>
        <v>0</v>
      </c>
      <c r="P18" s="480">
        <f t="shared" si="7"/>
        <v>0</v>
      </c>
      <c r="Q18" s="480">
        <f t="shared" si="8"/>
        <v>0</v>
      </c>
      <c r="R18" s="480">
        <f t="shared" si="9"/>
        <v>0</v>
      </c>
      <c r="S18" s="480">
        <f t="shared" si="10"/>
        <v>0</v>
      </c>
      <c r="T18" s="480">
        <f t="shared" si="11"/>
        <v>0</v>
      </c>
      <c r="U18" s="481">
        <f t="shared" si="12"/>
        <v>0</v>
      </c>
      <c r="V18" s="393">
        <v>1</v>
      </c>
      <c r="W18" s="393">
        <v>1</v>
      </c>
      <c r="X18" s="393">
        <v>2</v>
      </c>
      <c r="Y18" s="393">
        <v>2</v>
      </c>
      <c r="Z18" s="393"/>
      <c r="AA18" s="393">
        <v>3</v>
      </c>
      <c r="AB18" s="393"/>
      <c r="AC18" s="393">
        <v>2</v>
      </c>
      <c r="AD18" s="393">
        <v>1</v>
      </c>
      <c r="AE18" s="393"/>
      <c r="AF18" s="393"/>
      <c r="AG18" s="393">
        <v>2</v>
      </c>
      <c r="AH18" s="393"/>
    </row>
    <row r="19" spans="1:34" ht="20.149999999999999" customHeight="1" x14ac:dyDescent="0.35">
      <c r="A19" s="517" t="s">
        <v>102</v>
      </c>
      <c r="B19" s="684"/>
      <c r="C19" s="340">
        <v>2250</v>
      </c>
      <c r="D19" s="188">
        <v>1125</v>
      </c>
      <c r="E19" s="681"/>
      <c r="F19" s="666">
        <v>195</v>
      </c>
      <c r="G19" s="672">
        <f t="shared" si="13"/>
        <v>0</v>
      </c>
      <c r="H19" s="672">
        <f t="shared" si="14"/>
        <v>0</v>
      </c>
      <c r="I19" s="480">
        <f t="shared" si="0"/>
        <v>0</v>
      </c>
      <c r="J19" s="480">
        <f t="shared" si="1"/>
        <v>0</v>
      </c>
      <c r="K19" s="480">
        <f t="shared" si="2"/>
        <v>0</v>
      </c>
      <c r="L19" s="480">
        <f t="shared" si="3"/>
        <v>0</v>
      </c>
      <c r="M19" s="480">
        <f t="shared" si="4"/>
        <v>0</v>
      </c>
      <c r="N19" s="480">
        <f t="shared" si="5"/>
        <v>0</v>
      </c>
      <c r="O19" s="480">
        <f t="shared" si="6"/>
        <v>0</v>
      </c>
      <c r="P19" s="480">
        <f t="shared" si="7"/>
        <v>0</v>
      </c>
      <c r="Q19" s="480">
        <f t="shared" si="8"/>
        <v>0</v>
      </c>
      <c r="R19" s="480">
        <f t="shared" si="9"/>
        <v>0</v>
      </c>
      <c r="S19" s="480">
        <f t="shared" si="10"/>
        <v>0</v>
      </c>
      <c r="T19" s="480">
        <f t="shared" si="11"/>
        <v>0</v>
      </c>
      <c r="U19" s="481">
        <f t="shared" si="12"/>
        <v>0</v>
      </c>
      <c r="V19" s="393">
        <v>1</v>
      </c>
      <c r="W19" s="393">
        <v>1</v>
      </c>
      <c r="X19" s="393">
        <v>2</v>
      </c>
      <c r="Y19" s="393">
        <v>2</v>
      </c>
      <c r="Z19" s="393"/>
      <c r="AA19" s="393">
        <v>4</v>
      </c>
      <c r="AB19" s="393">
        <v>1</v>
      </c>
      <c r="AC19" s="393">
        <v>2</v>
      </c>
      <c r="AD19" s="393"/>
      <c r="AE19" s="393">
        <v>1</v>
      </c>
      <c r="AF19" s="393"/>
      <c r="AG19" s="393">
        <v>1</v>
      </c>
      <c r="AH19" s="393"/>
    </row>
    <row r="20" spans="1:34" ht="20.149999999999999" customHeight="1" x14ac:dyDescent="0.35">
      <c r="A20" s="685" t="s">
        <v>103</v>
      </c>
      <c r="B20" s="684"/>
      <c r="C20" s="340">
        <v>2250</v>
      </c>
      <c r="D20" s="188">
        <v>1325</v>
      </c>
      <c r="E20" s="681"/>
      <c r="F20" s="666">
        <v>215</v>
      </c>
      <c r="G20" s="672">
        <f t="shared" si="13"/>
        <v>0</v>
      </c>
      <c r="H20" s="672">
        <f t="shared" si="14"/>
        <v>0</v>
      </c>
      <c r="I20" s="480">
        <f t="shared" si="0"/>
        <v>0</v>
      </c>
      <c r="J20" s="480">
        <f t="shared" si="1"/>
        <v>0</v>
      </c>
      <c r="K20" s="480">
        <f t="shared" si="2"/>
        <v>0</v>
      </c>
      <c r="L20" s="480">
        <f t="shared" si="3"/>
        <v>0</v>
      </c>
      <c r="M20" s="480">
        <f t="shared" si="4"/>
        <v>0</v>
      </c>
      <c r="N20" s="480">
        <f t="shared" si="5"/>
        <v>0</v>
      </c>
      <c r="O20" s="480">
        <f t="shared" si="6"/>
        <v>0</v>
      </c>
      <c r="P20" s="480">
        <f t="shared" si="7"/>
        <v>0</v>
      </c>
      <c r="Q20" s="480">
        <f t="shared" si="8"/>
        <v>0</v>
      </c>
      <c r="R20" s="480">
        <f t="shared" si="9"/>
        <v>0</v>
      </c>
      <c r="S20" s="480">
        <f t="shared" si="10"/>
        <v>0</v>
      </c>
      <c r="T20" s="480">
        <f t="shared" si="11"/>
        <v>0</v>
      </c>
      <c r="U20" s="481">
        <f t="shared" si="12"/>
        <v>0</v>
      </c>
      <c r="V20" s="393">
        <v>1</v>
      </c>
      <c r="W20" s="393">
        <v>1</v>
      </c>
      <c r="X20" s="393">
        <v>2</v>
      </c>
      <c r="Y20" s="393">
        <v>2</v>
      </c>
      <c r="Z20" s="393"/>
      <c r="AA20" s="393">
        <v>2</v>
      </c>
      <c r="AB20" s="393">
        <v>1</v>
      </c>
      <c r="AC20" s="393">
        <v>2</v>
      </c>
      <c r="AD20" s="393"/>
      <c r="AE20" s="393">
        <v>1</v>
      </c>
      <c r="AF20" s="393"/>
      <c r="AG20" s="393">
        <v>2</v>
      </c>
      <c r="AH20" s="393"/>
    </row>
    <row r="21" spans="1:34" ht="20.149999999999999" customHeight="1" x14ac:dyDescent="0.35">
      <c r="A21" s="517" t="s">
        <v>104</v>
      </c>
      <c r="B21" s="684"/>
      <c r="C21" s="340">
        <v>2100</v>
      </c>
      <c r="D21" s="188">
        <v>1125</v>
      </c>
      <c r="E21" s="681"/>
      <c r="F21" s="666">
        <v>195</v>
      </c>
      <c r="G21" s="672">
        <f t="shared" si="13"/>
        <v>0</v>
      </c>
      <c r="H21" s="672">
        <f t="shared" si="14"/>
        <v>0</v>
      </c>
      <c r="I21" s="480">
        <f t="shared" si="0"/>
        <v>0</v>
      </c>
      <c r="J21" s="480">
        <f t="shared" si="1"/>
        <v>0</v>
      </c>
      <c r="K21" s="480">
        <f t="shared" si="2"/>
        <v>0</v>
      </c>
      <c r="L21" s="480">
        <f t="shared" si="3"/>
        <v>0</v>
      </c>
      <c r="M21" s="480">
        <f t="shared" si="4"/>
        <v>0</v>
      </c>
      <c r="N21" s="480">
        <f t="shared" si="5"/>
        <v>0</v>
      </c>
      <c r="O21" s="480">
        <f t="shared" si="6"/>
        <v>0</v>
      </c>
      <c r="P21" s="480">
        <f t="shared" si="7"/>
        <v>0</v>
      </c>
      <c r="Q21" s="480">
        <f t="shared" si="8"/>
        <v>0</v>
      </c>
      <c r="R21" s="480">
        <f t="shared" si="9"/>
        <v>0</v>
      </c>
      <c r="S21" s="480">
        <f t="shared" si="10"/>
        <v>0</v>
      </c>
      <c r="T21" s="480">
        <f t="shared" si="11"/>
        <v>0</v>
      </c>
      <c r="U21" s="481">
        <f t="shared" si="12"/>
        <v>0</v>
      </c>
      <c r="V21" s="393">
        <v>1</v>
      </c>
      <c r="W21" s="393">
        <v>1</v>
      </c>
      <c r="X21" s="393">
        <v>2</v>
      </c>
      <c r="Y21" s="393">
        <v>2</v>
      </c>
      <c r="Z21" s="393"/>
      <c r="AA21" s="393"/>
      <c r="AB21" s="393">
        <v>5</v>
      </c>
      <c r="AC21" s="393">
        <v>2</v>
      </c>
      <c r="AD21" s="393"/>
      <c r="AE21" s="393">
        <v>1</v>
      </c>
      <c r="AF21" s="393">
        <v>1</v>
      </c>
      <c r="AG21" s="393"/>
      <c r="AH21" s="393"/>
    </row>
    <row r="22" spans="1:34" ht="20.149999999999999" customHeight="1" x14ac:dyDescent="0.35">
      <c r="A22" s="517" t="s">
        <v>105</v>
      </c>
      <c r="B22" s="684"/>
      <c r="C22" s="340">
        <v>2100</v>
      </c>
      <c r="D22" s="188">
        <v>1325</v>
      </c>
      <c r="E22" s="681"/>
      <c r="F22" s="666">
        <v>215</v>
      </c>
      <c r="G22" s="672">
        <f t="shared" si="13"/>
        <v>0</v>
      </c>
      <c r="H22" s="672">
        <f t="shared" si="14"/>
        <v>0</v>
      </c>
      <c r="I22" s="480">
        <f t="shared" si="0"/>
        <v>0</v>
      </c>
      <c r="J22" s="480">
        <f t="shared" si="1"/>
        <v>0</v>
      </c>
      <c r="K22" s="480">
        <f t="shared" si="2"/>
        <v>0</v>
      </c>
      <c r="L22" s="480">
        <f t="shared" si="3"/>
        <v>0</v>
      </c>
      <c r="M22" s="480">
        <f t="shared" si="4"/>
        <v>0</v>
      </c>
      <c r="N22" s="480">
        <f t="shared" si="5"/>
        <v>0</v>
      </c>
      <c r="O22" s="480">
        <f t="shared" si="6"/>
        <v>0</v>
      </c>
      <c r="P22" s="480">
        <f t="shared" si="7"/>
        <v>0</v>
      </c>
      <c r="Q22" s="480">
        <f t="shared" si="8"/>
        <v>0</v>
      </c>
      <c r="R22" s="480">
        <f t="shared" si="9"/>
        <v>0</v>
      </c>
      <c r="S22" s="480">
        <f t="shared" si="10"/>
        <v>0</v>
      </c>
      <c r="T22" s="480">
        <f t="shared" si="11"/>
        <v>0</v>
      </c>
      <c r="U22" s="481">
        <f t="shared" si="12"/>
        <v>0</v>
      </c>
      <c r="V22" s="393">
        <v>1</v>
      </c>
      <c r="W22" s="393">
        <v>1</v>
      </c>
      <c r="X22" s="393">
        <v>2</v>
      </c>
      <c r="Y22" s="393">
        <v>2</v>
      </c>
      <c r="Z22" s="393"/>
      <c r="AA22" s="393"/>
      <c r="AB22" s="393">
        <v>3</v>
      </c>
      <c r="AC22" s="393">
        <v>2</v>
      </c>
      <c r="AD22" s="393"/>
      <c r="AE22" s="393">
        <v>1</v>
      </c>
      <c r="AF22" s="393">
        <v>2</v>
      </c>
      <c r="AG22" s="393"/>
      <c r="AH22" s="393"/>
    </row>
    <row r="23" spans="1:34" ht="20.149999999999999" customHeight="1" x14ac:dyDescent="0.35">
      <c r="A23" s="517" t="s">
        <v>106</v>
      </c>
      <c r="B23" s="684"/>
      <c r="C23" s="340">
        <v>2250</v>
      </c>
      <c r="D23" s="188">
        <v>1125</v>
      </c>
      <c r="E23" s="681"/>
      <c r="F23" s="666">
        <v>195</v>
      </c>
      <c r="G23" s="672">
        <f t="shared" si="13"/>
        <v>0</v>
      </c>
      <c r="H23" s="672">
        <f t="shared" si="14"/>
        <v>0</v>
      </c>
      <c r="I23" s="480">
        <f t="shared" si="0"/>
        <v>0</v>
      </c>
      <c r="J23" s="480">
        <f t="shared" si="1"/>
        <v>0</v>
      </c>
      <c r="K23" s="480">
        <f t="shared" si="2"/>
        <v>0</v>
      </c>
      <c r="L23" s="480">
        <f t="shared" si="3"/>
        <v>0</v>
      </c>
      <c r="M23" s="480">
        <f t="shared" si="4"/>
        <v>0</v>
      </c>
      <c r="N23" s="480">
        <f t="shared" si="5"/>
        <v>0</v>
      </c>
      <c r="O23" s="480">
        <f t="shared" si="6"/>
        <v>0</v>
      </c>
      <c r="P23" s="480">
        <f t="shared" si="7"/>
        <v>0</v>
      </c>
      <c r="Q23" s="480">
        <f t="shared" si="8"/>
        <v>0</v>
      </c>
      <c r="R23" s="480">
        <f t="shared" si="9"/>
        <v>0</v>
      </c>
      <c r="S23" s="480">
        <f t="shared" si="10"/>
        <v>0</v>
      </c>
      <c r="T23" s="480">
        <f t="shared" si="11"/>
        <v>0</v>
      </c>
      <c r="U23" s="481">
        <f t="shared" si="12"/>
        <v>0</v>
      </c>
      <c r="V23" s="393">
        <v>1</v>
      </c>
      <c r="W23" s="393">
        <v>1</v>
      </c>
      <c r="X23" s="393">
        <v>2</v>
      </c>
      <c r="Y23" s="393">
        <v>2</v>
      </c>
      <c r="Z23" s="393"/>
      <c r="AA23" s="393">
        <v>1</v>
      </c>
      <c r="AB23" s="393">
        <v>4</v>
      </c>
      <c r="AC23" s="393">
        <v>2</v>
      </c>
      <c r="AD23" s="393">
        <v>1</v>
      </c>
      <c r="AE23" s="393"/>
      <c r="AF23" s="393">
        <v>1</v>
      </c>
      <c r="AG23" s="393"/>
      <c r="AH23" s="393"/>
    </row>
    <row r="24" spans="1:34" ht="20.149999999999999" customHeight="1" x14ac:dyDescent="0.35">
      <c r="A24" s="517" t="s">
        <v>107</v>
      </c>
      <c r="B24" s="684"/>
      <c r="C24" s="340">
        <v>2250</v>
      </c>
      <c r="D24" s="188">
        <v>1325</v>
      </c>
      <c r="E24" s="681"/>
      <c r="F24" s="666">
        <v>215</v>
      </c>
      <c r="G24" s="672">
        <f t="shared" si="13"/>
        <v>0</v>
      </c>
      <c r="H24" s="672">
        <f t="shared" si="14"/>
        <v>0</v>
      </c>
      <c r="I24" s="480">
        <f t="shared" si="0"/>
        <v>0</v>
      </c>
      <c r="J24" s="480">
        <f t="shared" si="1"/>
        <v>0</v>
      </c>
      <c r="K24" s="480">
        <f t="shared" si="2"/>
        <v>0</v>
      </c>
      <c r="L24" s="480">
        <f t="shared" si="3"/>
        <v>0</v>
      </c>
      <c r="M24" s="480">
        <f t="shared" si="4"/>
        <v>0</v>
      </c>
      <c r="N24" s="480">
        <f t="shared" si="5"/>
        <v>0</v>
      </c>
      <c r="O24" s="480">
        <f t="shared" si="6"/>
        <v>0</v>
      </c>
      <c r="P24" s="480">
        <f t="shared" si="7"/>
        <v>0</v>
      </c>
      <c r="Q24" s="480">
        <f t="shared" si="8"/>
        <v>0</v>
      </c>
      <c r="R24" s="480">
        <f t="shared" si="9"/>
        <v>0</v>
      </c>
      <c r="S24" s="480">
        <f t="shared" si="10"/>
        <v>0</v>
      </c>
      <c r="T24" s="480">
        <f t="shared" si="11"/>
        <v>0</v>
      </c>
      <c r="U24" s="481">
        <f t="shared" si="12"/>
        <v>0</v>
      </c>
      <c r="V24" s="393">
        <v>1</v>
      </c>
      <c r="W24" s="393">
        <v>1</v>
      </c>
      <c r="X24" s="393">
        <v>2</v>
      </c>
      <c r="Y24" s="393">
        <v>2</v>
      </c>
      <c r="Z24" s="393"/>
      <c r="AA24" s="393">
        <v>1</v>
      </c>
      <c r="AB24" s="393">
        <v>2</v>
      </c>
      <c r="AC24" s="393">
        <v>2</v>
      </c>
      <c r="AD24" s="393">
        <v>1</v>
      </c>
      <c r="AE24" s="393"/>
      <c r="AF24" s="393">
        <v>2</v>
      </c>
      <c r="AG24" s="393"/>
      <c r="AH24" s="393"/>
    </row>
    <row r="25" spans="1:34" ht="20.149999999999999" customHeight="1" x14ac:dyDescent="0.35">
      <c r="A25" s="517" t="s">
        <v>108</v>
      </c>
      <c r="B25" s="684"/>
      <c r="C25" s="340">
        <v>3550</v>
      </c>
      <c r="D25" s="188">
        <v>1620</v>
      </c>
      <c r="E25" s="681"/>
      <c r="F25" s="666">
        <v>310</v>
      </c>
      <c r="G25" s="672">
        <f t="shared" si="13"/>
        <v>0</v>
      </c>
      <c r="H25" s="672">
        <f t="shared" si="14"/>
        <v>0</v>
      </c>
      <c r="I25" s="480">
        <f t="shared" si="0"/>
        <v>0</v>
      </c>
      <c r="J25" s="480">
        <f t="shared" si="1"/>
        <v>0</v>
      </c>
      <c r="K25" s="480">
        <f t="shared" si="2"/>
        <v>0</v>
      </c>
      <c r="L25" s="480">
        <f t="shared" si="3"/>
        <v>0</v>
      </c>
      <c r="M25" s="480">
        <f t="shared" si="4"/>
        <v>0</v>
      </c>
      <c r="N25" s="480">
        <f t="shared" si="5"/>
        <v>0</v>
      </c>
      <c r="O25" s="480">
        <f t="shared" si="6"/>
        <v>0</v>
      </c>
      <c r="P25" s="480">
        <f t="shared" si="7"/>
        <v>0</v>
      </c>
      <c r="Q25" s="480">
        <f t="shared" si="8"/>
        <v>0</v>
      </c>
      <c r="R25" s="480">
        <f t="shared" si="9"/>
        <v>0</v>
      </c>
      <c r="S25" s="480">
        <f t="shared" si="10"/>
        <v>0</v>
      </c>
      <c r="T25" s="480">
        <f t="shared" si="11"/>
        <v>0</v>
      </c>
      <c r="U25" s="481">
        <f t="shared" si="12"/>
        <v>0</v>
      </c>
      <c r="V25" s="393">
        <v>1.5</v>
      </c>
      <c r="W25" s="393">
        <v>1.5</v>
      </c>
      <c r="X25" s="393">
        <v>4</v>
      </c>
      <c r="Y25" s="393">
        <v>2</v>
      </c>
      <c r="Z25" s="393"/>
      <c r="AA25" s="393">
        <v>12</v>
      </c>
      <c r="AB25" s="393"/>
      <c r="AC25" s="393">
        <v>2</v>
      </c>
      <c r="AD25" s="393">
        <v>2</v>
      </c>
      <c r="AE25" s="393"/>
      <c r="AF25" s="393"/>
      <c r="AG25" s="393">
        <v>1</v>
      </c>
      <c r="AH25" s="393"/>
    </row>
    <row r="26" spans="1:34" ht="20.149999999999999" customHeight="1" x14ac:dyDescent="0.35">
      <c r="A26" s="517" t="s">
        <v>109</v>
      </c>
      <c r="B26" s="684"/>
      <c r="C26" s="340">
        <v>3550</v>
      </c>
      <c r="D26" s="188">
        <v>1950</v>
      </c>
      <c r="E26" s="681"/>
      <c r="F26" s="666">
        <v>325</v>
      </c>
      <c r="G26" s="672">
        <f t="shared" si="13"/>
        <v>0</v>
      </c>
      <c r="H26" s="672">
        <f t="shared" si="14"/>
        <v>0</v>
      </c>
      <c r="I26" s="480">
        <f t="shared" si="0"/>
        <v>0</v>
      </c>
      <c r="J26" s="480">
        <f t="shared" si="1"/>
        <v>0</v>
      </c>
      <c r="K26" s="480">
        <f t="shared" si="2"/>
        <v>0</v>
      </c>
      <c r="L26" s="480">
        <f t="shared" si="3"/>
        <v>0</v>
      </c>
      <c r="M26" s="480">
        <f t="shared" si="4"/>
        <v>0</v>
      </c>
      <c r="N26" s="480">
        <f t="shared" si="5"/>
        <v>0</v>
      </c>
      <c r="O26" s="480">
        <f t="shared" si="6"/>
        <v>0</v>
      </c>
      <c r="P26" s="480">
        <f t="shared" si="7"/>
        <v>0</v>
      </c>
      <c r="Q26" s="480">
        <f t="shared" si="8"/>
        <v>0</v>
      </c>
      <c r="R26" s="480">
        <f t="shared" si="9"/>
        <v>0</v>
      </c>
      <c r="S26" s="480">
        <f t="shared" si="10"/>
        <v>0</v>
      </c>
      <c r="T26" s="480">
        <f t="shared" si="11"/>
        <v>0</v>
      </c>
      <c r="U26" s="481">
        <f t="shared" si="12"/>
        <v>0</v>
      </c>
      <c r="V26" s="393">
        <v>1.5</v>
      </c>
      <c r="W26" s="393">
        <v>1.5</v>
      </c>
      <c r="X26" s="393">
        <v>4</v>
      </c>
      <c r="Y26" s="393">
        <v>2</v>
      </c>
      <c r="Z26" s="393"/>
      <c r="AA26" s="393">
        <v>10</v>
      </c>
      <c r="AB26" s="393"/>
      <c r="AC26" s="393">
        <v>2</v>
      </c>
      <c r="AD26" s="393">
        <v>2</v>
      </c>
      <c r="AE26" s="393"/>
      <c r="AF26" s="393"/>
      <c r="AG26" s="393">
        <v>2</v>
      </c>
      <c r="AH26" s="393"/>
    </row>
    <row r="27" spans="1:34" ht="20.149999999999999" customHeight="1" x14ac:dyDescent="0.35">
      <c r="A27" s="517" t="s">
        <v>110</v>
      </c>
      <c r="B27" s="684"/>
      <c r="C27" s="340">
        <f>3550-300</f>
        <v>3250</v>
      </c>
      <c r="D27" s="188">
        <v>1355</v>
      </c>
      <c r="E27" s="681"/>
      <c r="F27" s="666">
        <v>295</v>
      </c>
      <c r="G27" s="672">
        <f t="shared" si="13"/>
        <v>0</v>
      </c>
      <c r="H27" s="672">
        <f t="shared" si="14"/>
        <v>0</v>
      </c>
      <c r="I27" s="480">
        <f t="shared" si="0"/>
        <v>0</v>
      </c>
      <c r="J27" s="480">
        <f t="shared" si="1"/>
        <v>0</v>
      </c>
      <c r="K27" s="480">
        <f t="shared" si="2"/>
        <v>0</v>
      </c>
      <c r="L27" s="480">
        <f t="shared" si="3"/>
        <v>0</v>
      </c>
      <c r="M27" s="480">
        <f t="shared" si="4"/>
        <v>0</v>
      </c>
      <c r="N27" s="480">
        <f t="shared" si="5"/>
        <v>0</v>
      </c>
      <c r="O27" s="480">
        <f t="shared" si="6"/>
        <v>0</v>
      </c>
      <c r="P27" s="480">
        <f t="shared" si="7"/>
        <v>0</v>
      </c>
      <c r="Q27" s="480">
        <f t="shared" si="8"/>
        <v>0</v>
      </c>
      <c r="R27" s="480">
        <f t="shared" si="9"/>
        <v>0</v>
      </c>
      <c r="S27" s="480">
        <f t="shared" si="10"/>
        <v>0</v>
      </c>
      <c r="T27" s="480">
        <f t="shared" si="11"/>
        <v>0</v>
      </c>
      <c r="U27" s="481">
        <f t="shared" si="12"/>
        <v>0</v>
      </c>
      <c r="V27" s="393">
        <v>1.5</v>
      </c>
      <c r="W27" s="393">
        <v>1.5</v>
      </c>
      <c r="X27" s="393">
        <v>4</v>
      </c>
      <c r="Y27" s="393">
        <v>2</v>
      </c>
      <c r="Z27" s="393"/>
      <c r="AA27" s="393">
        <v>12</v>
      </c>
      <c r="AB27" s="393">
        <v>2</v>
      </c>
      <c r="AC27" s="393">
        <v>2</v>
      </c>
      <c r="AD27" s="393"/>
      <c r="AE27" s="393">
        <v>2</v>
      </c>
      <c r="AF27" s="393"/>
      <c r="AG27" s="393"/>
      <c r="AH27" s="393"/>
    </row>
    <row r="28" spans="1:34" ht="20.149999999999999" customHeight="1" x14ac:dyDescent="0.35">
      <c r="A28" s="517" t="s">
        <v>111</v>
      </c>
      <c r="B28" s="684"/>
      <c r="C28" s="340">
        <v>3250</v>
      </c>
      <c r="D28" s="188">
        <v>1850</v>
      </c>
      <c r="E28" s="682"/>
      <c r="F28" s="667">
        <v>325</v>
      </c>
      <c r="G28" s="672">
        <f t="shared" si="13"/>
        <v>0</v>
      </c>
      <c r="H28" s="672">
        <f t="shared" si="14"/>
        <v>0</v>
      </c>
      <c r="I28" s="480">
        <f t="shared" si="0"/>
        <v>0</v>
      </c>
      <c r="J28" s="480">
        <f t="shared" si="1"/>
        <v>0</v>
      </c>
      <c r="K28" s="480">
        <f t="shared" si="2"/>
        <v>0</v>
      </c>
      <c r="L28" s="480">
        <f t="shared" si="3"/>
        <v>0</v>
      </c>
      <c r="M28" s="480">
        <f t="shared" si="4"/>
        <v>0</v>
      </c>
      <c r="N28" s="480">
        <f t="shared" si="5"/>
        <v>0</v>
      </c>
      <c r="O28" s="480">
        <f t="shared" si="6"/>
        <v>0</v>
      </c>
      <c r="P28" s="480">
        <f t="shared" si="7"/>
        <v>0</v>
      </c>
      <c r="Q28" s="480">
        <f t="shared" si="8"/>
        <v>0</v>
      </c>
      <c r="R28" s="480">
        <f t="shared" si="9"/>
        <v>0</v>
      </c>
      <c r="S28" s="480">
        <f t="shared" si="10"/>
        <v>0</v>
      </c>
      <c r="T28" s="480">
        <f t="shared" si="11"/>
        <v>0</v>
      </c>
      <c r="U28" s="481">
        <f t="shared" si="12"/>
        <v>0</v>
      </c>
      <c r="V28" s="393">
        <v>1.5</v>
      </c>
      <c r="W28" s="393">
        <v>1.5</v>
      </c>
      <c r="X28" s="393">
        <v>4</v>
      </c>
      <c r="Y28" s="393">
        <v>2</v>
      </c>
      <c r="Z28" s="393"/>
      <c r="AA28" s="393">
        <v>2</v>
      </c>
      <c r="AB28" s="393">
        <v>8</v>
      </c>
      <c r="AC28" s="393">
        <v>2</v>
      </c>
      <c r="AD28" s="393">
        <v>2</v>
      </c>
      <c r="AE28" s="393"/>
      <c r="AF28" s="393">
        <v>2</v>
      </c>
      <c r="AG28" s="393"/>
      <c r="AH28" s="393"/>
    </row>
    <row r="29" spans="1:34" ht="20.149999999999999" customHeight="1" x14ac:dyDescent="0.35">
      <c r="A29" s="517" t="s">
        <v>112</v>
      </c>
      <c r="B29" s="684"/>
      <c r="C29" s="340">
        <v>3550</v>
      </c>
      <c r="D29" s="188">
        <v>1325</v>
      </c>
      <c r="E29" s="681"/>
      <c r="F29" s="668">
        <v>295</v>
      </c>
      <c r="G29" s="672">
        <f t="shared" si="13"/>
        <v>0</v>
      </c>
      <c r="H29" s="672">
        <f t="shared" si="14"/>
        <v>0</v>
      </c>
      <c r="I29" s="480">
        <f t="shared" si="0"/>
        <v>0</v>
      </c>
      <c r="J29" s="480">
        <f t="shared" si="1"/>
        <v>0</v>
      </c>
      <c r="K29" s="480">
        <f t="shared" si="2"/>
        <v>0</v>
      </c>
      <c r="L29" s="480">
        <f t="shared" si="3"/>
        <v>0</v>
      </c>
      <c r="M29" s="480">
        <f t="shared" si="4"/>
        <v>0</v>
      </c>
      <c r="N29" s="480">
        <f t="shared" si="5"/>
        <v>0</v>
      </c>
      <c r="O29" s="480">
        <f t="shared" si="6"/>
        <v>0</v>
      </c>
      <c r="P29" s="480">
        <f t="shared" si="7"/>
        <v>0</v>
      </c>
      <c r="Q29" s="480">
        <f t="shared" si="8"/>
        <v>0</v>
      </c>
      <c r="R29" s="480">
        <f t="shared" si="9"/>
        <v>0</v>
      </c>
      <c r="S29" s="480">
        <f t="shared" si="10"/>
        <v>0</v>
      </c>
      <c r="T29" s="480">
        <f t="shared" si="11"/>
        <v>0</v>
      </c>
      <c r="U29" s="481">
        <f t="shared" si="12"/>
        <v>0</v>
      </c>
      <c r="V29" s="393">
        <v>1.5</v>
      </c>
      <c r="W29" s="393">
        <v>1.5</v>
      </c>
      <c r="X29" s="393">
        <v>4</v>
      </c>
      <c r="Y29" s="393">
        <v>2</v>
      </c>
      <c r="Z29" s="393"/>
      <c r="AA29" s="393">
        <v>14</v>
      </c>
      <c r="AB29" s="393"/>
      <c r="AC29" s="393">
        <v>2</v>
      </c>
      <c r="AD29" s="393">
        <v>2</v>
      </c>
      <c r="AE29" s="393"/>
      <c r="AF29" s="393"/>
      <c r="AG29" s="393"/>
      <c r="AH29" s="393"/>
    </row>
    <row r="30" spans="1:34" ht="20.149999999999999" customHeight="1" x14ac:dyDescent="0.35">
      <c r="A30" s="517" t="s">
        <v>113</v>
      </c>
      <c r="B30" s="684"/>
      <c r="C30" s="340">
        <v>2400</v>
      </c>
      <c r="D30" s="188">
        <v>1045</v>
      </c>
      <c r="E30" s="681"/>
      <c r="F30" s="666">
        <v>230</v>
      </c>
      <c r="G30" s="672">
        <f t="shared" si="13"/>
        <v>0</v>
      </c>
      <c r="H30" s="672">
        <f t="shared" si="14"/>
        <v>0</v>
      </c>
      <c r="I30" s="480">
        <f t="shared" si="0"/>
        <v>0</v>
      </c>
      <c r="J30" s="480">
        <f t="shared" si="1"/>
        <v>0</v>
      </c>
      <c r="K30" s="480">
        <f t="shared" si="2"/>
        <v>0</v>
      </c>
      <c r="L30" s="480">
        <f t="shared" si="3"/>
        <v>0</v>
      </c>
      <c r="M30" s="480">
        <f t="shared" si="4"/>
        <v>0</v>
      </c>
      <c r="N30" s="480">
        <f t="shared" si="5"/>
        <v>0</v>
      </c>
      <c r="O30" s="480">
        <f t="shared" si="6"/>
        <v>0</v>
      </c>
      <c r="P30" s="480">
        <f t="shared" si="7"/>
        <v>0</v>
      </c>
      <c r="Q30" s="480">
        <f t="shared" si="8"/>
        <v>0</v>
      </c>
      <c r="R30" s="480">
        <f t="shared" si="9"/>
        <v>0</v>
      </c>
      <c r="S30" s="480">
        <f t="shared" si="10"/>
        <v>0</v>
      </c>
      <c r="T30" s="480">
        <f t="shared" si="11"/>
        <v>0</v>
      </c>
      <c r="U30" s="481">
        <f t="shared" si="12"/>
        <v>0</v>
      </c>
      <c r="V30" s="393">
        <v>1</v>
      </c>
      <c r="W30" s="393">
        <v>1</v>
      </c>
      <c r="X30" s="393">
        <v>4</v>
      </c>
      <c r="Y30" s="393"/>
      <c r="Z30" s="393"/>
      <c r="AA30" s="393">
        <v>12</v>
      </c>
      <c r="AB30" s="393"/>
      <c r="AC30" s="393">
        <v>2</v>
      </c>
      <c r="AD30" s="393"/>
      <c r="AE30" s="393"/>
      <c r="AF30" s="393"/>
      <c r="AG30" s="393"/>
      <c r="AH30" s="393"/>
    </row>
    <row r="31" spans="1:34" ht="20.149999999999999" customHeight="1" x14ac:dyDescent="0.35">
      <c r="A31" s="517" t="s">
        <v>114</v>
      </c>
      <c r="B31" s="684"/>
      <c r="C31" s="340">
        <v>2400</v>
      </c>
      <c r="D31" s="188">
        <v>1285</v>
      </c>
      <c r="E31" s="681"/>
      <c r="F31" s="666">
        <v>245</v>
      </c>
      <c r="G31" s="672">
        <f t="shared" si="13"/>
        <v>0</v>
      </c>
      <c r="H31" s="672">
        <f t="shared" si="14"/>
        <v>0</v>
      </c>
      <c r="I31" s="480">
        <f t="shared" si="0"/>
        <v>0</v>
      </c>
      <c r="J31" s="480">
        <f t="shared" si="1"/>
        <v>0</v>
      </c>
      <c r="K31" s="480">
        <f t="shared" si="2"/>
        <v>0</v>
      </c>
      <c r="L31" s="480">
        <f t="shared" si="3"/>
        <v>0</v>
      </c>
      <c r="M31" s="480">
        <f t="shared" si="4"/>
        <v>0</v>
      </c>
      <c r="N31" s="480">
        <f t="shared" si="5"/>
        <v>0</v>
      </c>
      <c r="O31" s="480">
        <f t="shared" si="6"/>
        <v>0</v>
      </c>
      <c r="P31" s="480">
        <f t="shared" si="7"/>
        <v>0</v>
      </c>
      <c r="Q31" s="480">
        <f t="shared" si="8"/>
        <v>0</v>
      </c>
      <c r="R31" s="480">
        <f t="shared" si="9"/>
        <v>0</v>
      </c>
      <c r="S31" s="480">
        <f t="shared" si="10"/>
        <v>0</v>
      </c>
      <c r="T31" s="480">
        <f t="shared" si="11"/>
        <v>0</v>
      </c>
      <c r="U31" s="481">
        <f t="shared" si="12"/>
        <v>0</v>
      </c>
      <c r="V31" s="393">
        <v>1</v>
      </c>
      <c r="W31" s="393">
        <v>1</v>
      </c>
      <c r="X31" s="393">
        <v>4</v>
      </c>
      <c r="Y31" s="393"/>
      <c r="Z31" s="393"/>
      <c r="AA31" s="393">
        <v>10</v>
      </c>
      <c r="AB31" s="393"/>
      <c r="AC31" s="393">
        <v>2</v>
      </c>
      <c r="AD31" s="393"/>
      <c r="AE31" s="393"/>
      <c r="AF31" s="393"/>
      <c r="AG31" s="393">
        <v>1</v>
      </c>
      <c r="AH31" s="393"/>
    </row>
    <row r="32" spans="1:34" ht="20.149999999999999" customHeight="1" x14ac:dyDescent="0.35">
      <c r="A32" s="517" t="s">
        <v>115</v>
      </c>
      <c r="B32" s="684"/>
      <c r="C32" s="340">
        <v>2400</v>
      </c>
      <c r="D32" s="188">
        <v>1538</v>
      </c>
      <c r="E32" s="681"/>
      <c r="F32" s="666">
        <v>265</v>
      </c>
      <c r="G32" s="672">
        <f t="shared" si="13"/>
        <v>0</v>
      </c>
      <c r="H32" s="672">
        <f t="shared" si="14"/>
        <v>0</v>
      </c>
      <c r="I32" s="480">
        <f t="shared" si="0"/>
        <v>0</v>
      </c>
      <c r="J32" s="480">
        <f t="shared" si="1"/>
        <v>0</v>
      </c>
      <c r="K32" s="480">
        <f t="shared" si="2"/>
        <v>0</v>
      </c>
      <c r="L32" s="480">
        <f t="shared" si="3"/>
        <v>0</v>
      </c>
      <c r="M32" s="480">
        <f t="shared" si="4"/>
        <v>0</v>
      </c>
      <c r="N32" s="480">
        <f t="shared" si="5"/>
        <v>0</v>
      </c>
      <c r="O32" s="480">
        <f t="shared" si="6"/>
        <v>0</v>
      </c>
      <c r="P32" s="480">
        <f t="shared" si="7"/>
        <v>0</v>
      </c>
      <c r="Q32" s="480">
        <f t="shared" si="8"/>
        <v>0</v>
      </c>
      <c r="R32" s="480">
        <f t="shared" si="9"/>
        <v>0</v>
      </c>
      <c r="S32" s="480">
        <f t="shared" si="10"/>
        <v>0</v>
      </c>
      <c r="T32" s="480">
        <f t="shared" si="11"/>
        <v>0</v>
      </c>
      <c r="U32" s="481">
        <f t="shared" si="12"/>
        <v>0</v>
      </c>
      <c r="V32" s="393">
        <v>1</v>
      </c>
      <c r="W32" s="393">
        <v>1</v>
      </c>
      <c r="X32" s="393">
        <v>4</v>
      </c>
      <c r="Y32" s="393"/>
      <c r="Z32" s="393"/>
      <c r="AA32" s="393">
        <v>8</v>
      </c>
      <c r="AB32" s="393"/>
      <c r="AC32" s="393">
        <v>2</v>
      </c>
      <c r="AD32" s="393"/>
      <c r="AE32" s="393"/>
      <c r="AF32" s="393"/>
      <c r="AG32" s="393">
        <v>2</v>
      </c>
      <c r="AH32" s="393"/>
    </row>
    <row r="33" spans="1:34" ht="20.149999999999999" customHeight="1" x14ac:dyDescent="0.35">
      <c r="A33" s="517" t="s">
        <v>116</v>
      </c>
      <c r="B33" s="684"/>
      <c r="C33" s="340">
        <v>2400</v>
      </c>
      <c r="D33" s="188">
        <v>1538</v>
      </c>
      <c r="E33" s="681"/>
      <c r="F33" s="666">
        <v>260</v>
      </c>
      <c r="G33" s="672">
        <f t="shared" si="13"/>
        <v>0</v>
      </c>
      <c r="H33" s="672">
        <f t="shared" si="14"/>
        <v>0</v>
      </c>
      <c r="I33" s="480">
        <f t="shared" si="0"/>
        <v>0</v>
      </c>
      <c r="J33" s="480">
        <f t="shared" si="1"/>
        <v>0</v>
      </c>
      <c r="K33" s="480">
        <f t="shared" si="2"/>
        <v>0</v>
      </c>
      <c r="L33" s="480">
        <f t="shared" si="3"/>
        <v>0</v>
      </c>
      <c r="M33" s="480">
        <f t="shared" si="4"/>
        <v>0</v>
      </c>
      <c r="N33" s="480">
        <f t="shared" si="5"/>
        <v>0</v>
      </c>
      <c r="O33" s="480">
        <f t="shared" si="6"/>
        <v>0</v>
      </c>
      <c r="P33" s="480">
        <f t="shared" si="7"/>
        <v>0</v>
      </c>
      <c r="Q33" s="480">
        <f t="shared" si="8"/>
        <v>0</v>
      </c>
      <c r="R33" s="480">
        <f t="shared" si="9"/>
        <v>0</v>
      </c>
      <c r="S33" s="480">
        <f t="shared" si="10"/>
        <v>0</v>
      </c>
      <c r="T33" s="480">
        <f t="shared" si="11"/>
        <v>0</v>
      </c>
      <c r="U33" s="481">
        <f t="shared" si="12"/>
        <v>0</v>
      </c>
      <c r="V33" s="393">
        <v>1</v>
      </c>
      <c r="W33" s="393">
        <v>1</v>
      </c>
      <c r="X33" s="393">
        <v>4</v>
      </c>
      <c r="Y33" s="393"/>
      <c r="Z33" s="393"/>
      <c r="AA33" s="393">
        <v>8</v>
      </c>
      <c r="AB33" s="393"/>
      <c r="AC33" s="393">
        <v>2</v>
      </c>
      <c r="AD33" s="393"/>
      <c r="AE33" s="393"/>
      <c r="AF33" s="393"/>
      <c r="AG33" s="393">
        <v>2</v>
      </c>
      <c r="AH33" s="393"/>
    </row>
    <row r="34" spans="1:34" ht="20.149999999999999" customHeight="1" x14ac:dyDescent="0.35">
      <c r="A34" s="517" t="s">
        <v>117</v>
      </c>
      <c r="B34" s="684"/>
      <c r="C34" s="340">
        <f>2400-150</f>
        <v>2250</v>
      </c>
      <c r="D34" s="188">
        <v>1250</v>
      </c>
      <c r="E34" s="681"/>
      <c r="F34" s="666">
        <v>245</v>
      </c>
      <c r="G34" s="672">
        <f t="shared" si="13"/>
        <v>0</v>
      </c>
      <c r="H34" s="672">
        <f t="shared" si="14"/>
        <v>0</v>
      </c>
      <c r="I34" s="480">
        <f t="shared" si="0"/>
        <v>0</v>
      </c>
      <c r="J34" s="480">
        <f t="shared" si="1"/>
        <v>0</v>
      </c>
      <c r="K34" s="480">
        <f t="shared" si="2"/>
        <v>0</v>
      </c>
      <c r="L34" s="480">
        <f t="shared" si="3"/>
        <v>0</v>
      </c>
      <c r="M34" s="480">
        <f t="shared" si="4"/>
        <v>0</v>
      </c>
      <c r="N34" s="480">
        <f t="shared" si="5"/>
        <v>0</v>
      </c>
      <c r="O34" s="480">
        <f t="shared" si="6"/>
        <v>0</v>
      </c>
      <c r="P34" s="480">
        <f t="shared" si="7"/>
        <v>0</v>
      </c>
      <c r="Q34" s="480">
        <f t="shared" si="8"/>
        <v>0</v>
      </c>
      <c r="R34" s="480">
        <f t="shared" si="9"/>
        <v>0</v>
      </c>
      <c r="S34" s="480">
        <f t="shared" si="10"/>
        <v>0</v>
      </c>
      <c r="T34" s="480">
        <f t="shared" si="11"/>
        <v>0</v>
      </c>
      <c r="U34" s="481">
        <f t="shared" si="12"/>
        <v>0</v>
      </c>
      <c r="V34" s="393">
        <v>1</v>
      </c>
      <c r="W34" s="393">
        <v>1</v>
      </c>
      <c r="X34" s="393">
        <v>4</v>
      </c>
      <c r="Y34" s="393"/>
      <c r="Z34" s="393"/>
      <c r="AA34" s="393">
        <v>4</v>
      </c>
      <c r="AB34" s="393">
        <v>6</v>
      </c>
      <c r="AC34" s="393">
        <v>2</v>
      </c>
      <c r="AD34" s="393"/>
      <c r="AE34" s="393"/>
      <c r="AF34" s="393"/>
      <c r="AG34" s="393">
        <v>1</v>
      </c>
      <c r="AH34" s="393"/>
    </row>
    <row r="35" spans="1:34" ht="20.149999999999999" customHeight="1" x14ac:dyDescent="0.35">
      <c r="A35" s="517" t="s">
        <v>118</v>
      </c>
      <c r="B35" s="684"/>
      <c r="C35" s="340">
        <v>2250</v>
      </c>
      <c r="D35" s="188">
        <v>1500</v>
      </c>
      <c r="E35" s="681"/>
      <c r="F35" s="666">
        <v>265</v>
      </c>
      <c r="G35" s="672">
        <f t="shared" si="13"/>
        <v>0</v>
      </c>
      <c r="H35" s="672">
        <f t="shared" si="14"/>
        <v>0</v>
      </c>
      <c r="I35" s="480">
        <f t="shared" si="0"/>
        <v>0</v>
      </c>
      <c r="J35" s="480">
        <f t="shared" si="1"/>
        <v>0</v>
      </c>
      <c r="K35" s="480">
        <f t="shared" si="2"/>
        <v>0</v>
      </c>
      <c r="L35" s="480">
        <f t="shared" si="3"/>
        <v>0</v>
      </c>
      <c r="M35" s="480">
        <f t="shared" si="4"/>
        <v>0</v>
      </c>
      <c r="N35" s="480">
        <f t="shared" si="5"/>
        <v>0</v>
      </c>
      <c r="O35" s="480">
        <f t="shared" si="6"/>
        <v>0</v>
      </c>
      <c r="P35" s="480">
        <f t="shared" si="7"/>
        <v>0</v>
      </c>
      <c r="Q35" s="480">
        <f t="shared" si="8"/>
        <v>0</v>
      </c>
      <c r="R35" s="480">
        <f t="shared" si="9"/>
        <v>0</v>
      </c>
      <c r="S35" s="480">
        <f t="shared" si="10"/>
        <v>0</v>
      </c>
      <c r="T35" s="480">
        <f t="shared" si="11"/>
        <v>0</v>
      </c>
      <c r="U35" s="481">
        <f t="shared" si="12"/>
        <v>0</v>
      </c>
      <c r="V35" s="393">
        <v>1</v>
      </c>
      <c r="W35" s="393">
        <v>1</v>
      </c>
      <c r="X35" s="393">
        <v>4</v>
      </c>
      <c r="Y35" s="393"/>
      <c r="Z35" s="393"/>
      <c r="AA35" s="393">
        <v>2</v>
      </c>
      <c r="AB35" s="393">
        <v>6</v>
      </c>
      <c r="AC35" s="393">
        <v>2</v>
      </c>
      <c r="AD35" s="393"/>
      <c r="AE35" s="393"/>
      <c r="AF35" s="393"/>
      <c r="AG35" s="393">
        <v>2</v>
      </c>
      <c r="AH35" s="393"/>
    </row>
    <row r="36" spans="1:34" ht="20.149999999999999" customHeight="1" x14ac:dyDescent="0.35">
      <c r="A36" s="517" t="s">
        <v>119</v>
      </c>
      <c r="B36" s="684"/>
      <c r="C36" s="340">
        <v>2250</v>
      </c>
      <c r="D36" s="188">
        <v>950</v>
      </c>
      <c r="E36" s="681"/>
      <c r="F36" s="666">
        <v>230</v>
      </c>
      <c r="G36" s="672">
        <f t="shared" si="13"/>
        <v>0</v>
      </c>
      <c r="H36" s="672">
        <f t="shared" si="14"/>
        <v>0</v>
      </c>
      <c r="I36" s="480">
        <f t="shared" si="0"/>
        <v>0</v>
      </c>
      <c r="J36" s="480">
        <f t="shared" si="1"/>
        <v>0</v>
      </c>
      <c r="K36" s="480">
        <f t="shared" si="2"/>
        <v>0</v>
      </c>
      <c r="L36" s="480">
        <f t="shared" si="3"/>
        <v>0</v>
      </c>
      <c r="M36" s="480">
        <f t="shared" si="4"/>
        <v>0</v>
      </c>
      <c r="N36" s="480">
        <f t="shared" si="5"/>
        <v>0</v>
      </c>
      <c r="O36" s="480">
        <f t="shared" si="6"/>
        <v>0</v>
      </c>
      <c r="P36" s="480">
        <f t="shared" si="7"/>
        <v>0</v>
      </c>
      <c r="Q36" s="480">
        <f t="shared" si="8"/>
        <v>0</v>
      </c>
      <c r="R36" s="480">
        <f t="shared" si="9"/>
        <v>0</v>
      </c>
      <c r="S36" s="480">
        <f t="shared" si="10"/>
        <v>0</v>
      </c>
      <c r="T36" s="480">
        <f t="shared" si="11"/>
        <v>0</v>
      </c>
      <c r="U36" s="481">
        <f t="shared" si="12"/>
        <v>0</v>
      </c>
      <c r="V36" s="393">
        <v>1</v>
      </c>
      <c r="W36" s="393">
        <v>1</v>
      </c>
      <c r="X36" s="393">
        <v>4</v>
      </c>
      <c r="Y36" s="393"/>
      <c r="Z36" s="393"/>
      <c r="AA36" s="393"/>
      <c r="AB36" s="393">
        <v>12</v>
      </c>
      <c r="AC36" s="393">
        <v>2</v>
      </c>
      <c r="AD36" s="393"/>
      <c r="AE36" s="393"/>
      <c r="AF36" s="393"/>
      <c r="AG36" s="393"/>
      <c r="AH36" s="393"/>
    </row>
    <row r="37" spans="1:34" ht="20.149999999999999" customHeight="1" x14ac:dyDescent="0.35">
      <c r="A37" s="517" t="s">
        <v>120</v>
      </c>
      <c r="B37" s="684"/>
      <c r="C37" s="340">
        <v>2100</v>
      </c>
      <c r="D37" s="188">
        <v>1195</v>
      </c>
      <c r="E37" s="681"/>
      <c r="F37" s="666">
        <v>245</v>
      </c>
      <c r="G37" s="672">
        <f t="shared" si="13"/>
        <v>0</v>
      </c>
      <c r="H37" s="672">
        <f t="shared" si="14"/>
        <v>0</v>
      </c>
      <c r="I37" s="480">
        <f t="shared" si="0"/>
        <v>0</v>
      </c>
      <c r="J37" s="480">
        <f t="shared" si="1"/>
        <v>0</v>
      </c>
      <c r="K37" s="480">
        <f t="shared" si="2"/>
        <v>0</v>
      </c>
      <c r="L37" s="480">
        <f t="shared" si="3"/>
        <v>0</v>
      </c>
      <c r="M37" s="480">
        <f t="shared" si="4"/>
        <v>0</v>
      </c>
      <c r="N37" s="480">
        <f t="shared" si="5"/>
        <v>0</v>
      </c>
      <c r="O37" s="480">
        <f t="shared" si="6"/>
        <v>0</v>
      </c>
      <c r="P37" s="480">
        <f t="shared" si="7"/>
        <v>0</v>
      </c>
      <c r="Q37" s="480">
        <f t="shared" si="8"/>
        <v>0</v>
      </c>
      <c r="R37" s="480">
        <f t="shared" si="9"/>
        <v>0</v>
      </c>
      <c r="S37" s="480">
        <f t="shared" si="10"/>
        <v>0</v>
      </c>
      <c r="T37" s="480">
        <f t="shared" si="11"/>
        <v>0</v>
      </c>
      <c r="U37" s="480">
        <f t="shared" si="12"/>
        <v>0</v>
      </c>
      <c r="V37" s="395">
        <v>1</v>
      </c>
      <c r="W37" s="393">
        <v>1</v>
      </c>
      <c r="X37" s="393">
        <v>4</v>
      </c>
      <c r="Y37" s="393"/>
      <c r="Z37" s="393"/>
      <c r="AA37" s="393"/>
      <c r="AB37" s="393">
        <v>10</v>
      </c>
      <c r="AC37" s="393">
        <v>2</v>
      </c>
      <c r="AD37" s="393"/>
      <c r="AE37" s="393"/>
      <c r="AF37" s="393">
        <v>1</v>
      </c>
      <c r="AG37" s="393"/>
      <c r="AH37" s="393"/>
    </row>
    <row r="38" spans="1:34" ht="20.149999999999999" customHeight="1" x14ac:dyDescent="0.35">
      <c r="B38" s="340"/>
      <c r="C38" s="340"/>
      <c r="F38" s="669"/>
      <c r="G38" s="673"/>
      <c r="H38"/>
      <c r="I38" s="510">
        <f t="shared" si="0"/>
        <v>0</v>
      </c>
      <c r="J38" s="510">
        <f t="shared" si="1"/>
        <v>0</v>
      </c>
      <c r="K38" s="510">
        <f t="shared" si="2"/>
        <v>0</v>
      </c>
      <c r="L38" s="510">
        <f t="shared" si="3"/>
        <v>0</v>
      </c>
      <c r="M38" s="510">
        <f t="shared" si="4"/>
        <v>0</v>
      </c>
      <c r="N38" s="510">
        <f t="shared" si="5"/>
        <v>0</v>
      </c>
      <c r="O38" s="510">
        <f t="shared" si="6"/>
        <v>0</v>
      </c>
      <c r="P38" s="510">
        <f t="shared" si="7"/>
        <v>0</v>
      </c>
      <c r="Q38" s="510">
        <f t="shared" si="8"/>
        <v>0</v>
      </c>
      <c r="R38" s="510">
        <f t="shared" si="9"/>
        <v>0</v>
      </c>
      <c r="S38" s="510">
        <f t="shared" si="10"/>
        <v>0</v>
      </c>
      <c r="T38" s="510">
        <f t="shared" si="11"/>
        <v>0</v>
      </c>
      <c r="U38" s="510">
        <f t="shared" si="12"/>
        <v>0</v>
      </c>
    </row>
    <row r="39" spans="1:34" ht="20.149999999999999" customHeight="1" x14ac:dyDescent="0.35">
      <c r="A39" s="517" t="s">
        <v>558</v>
      </c>
      <c r="B39" s="684"/>
      <c r="C39" s="340">
        <v>2400</v>
      </c>
      <c r="D39" s="188">
        <v>675</v>
      </c>
      <c r="E39" s="679"/>
      <c r="F39" s="670">
        <v>180</v>
      </c>
      <c r="G39" s="674">
        <f t="shared" ref="G39:G44" si="15">D39*E39</f>
        <v>0</v>
      </c>
      <c r="H39" s="672">
        <f t="shared" si="14"/>
        <v>0</v>
      </c>
      <c r="I39" s="516">
        <f t="shared" si="0"/>
        <v>0</v>
      </c>
      <c r="J39" s="516">
        <f t="shared" si="1"/>
        <v>0</v>
      </c>
      <c r="K39" s="516">
        <f t="shared" si="2"/>
        <v>0</v>
      </c>
      <c r="L39" s="516">
        <f t="shared" si="3"/>
        <v>0</v>
      </c>
      <c r="M39" s="516">
        <f t="shared" si="4"/>
        <v>0</v>
      </c>
      <c r="N39" s="516">
        <f t="shared" si="5"/>
        <v>0</v>
      </c>
      <c r="O39" s="516">
        <f t="shared" si="6"/>
        <v>0</v>
      </c>
      <c r="P39" s="516">
        <f t="shared" si="7"/>
        <v>0</v>
      </c>
      <c r="Q39" s="516">
        <f t="shared" si="8"/>
        <v>0</v>
      </c>
      <c r="R39" s="516">
        <f t="shared" si="9"/>
        <v>0</v>
      </c>
      <c r="S39" s="516">
        <f t="shared" si="10"/>
        <v>0</v>
      </c>
      <c r="T39" s="516">
        <f t="shared" si="11"/>
        <v>0</v>
      </c>
      <c r="U39" s="516">
        <f t="shared" si="12"/>
        <v>0</v>
      </c>
      <c r="V39" s="511">
        <v>1</v>
      </c>
      <c r="W39" s="511">
        <v>1</v>
      </c>
      <c r="X39" s="511">
        <v>2</v>
      </c>
      <c r="Y39" s="511">
        <v>1</v>
      </c>
      <c r="Z39" s="511"/>
      <c r="AA39" s="511"/>
      <c r="AB39" s="511">
        <v>6</v>
      </c>
      <c r="AC39" s="511">
        <v>3</v>
      </c>
      <c r="AD39" s="511"/>
      <c r="AE39" s="511"/>
      <c r="AF39" s="511"/>
      <c r="AG39" s="511"/>
      <c r="AH39" s="511">
        <v>1</v>
      </c>
    </row>
    <row r="40" spans="1:34" ht="20.149999999999999" customHeight="1" x14ac:dyDescent="0.35">
      <c r="A40" s="517" t="s">
        <v>559</v>
      </c>
      <c r="B40" s="684"/>
      <c r="C40" s="340">
        <v>2400</v>
      </c>
      <c r="D40" s="188">
        <v>720</v>
      </c>
      <c r="E40" s="679"/>
      <c r="F40" s="671">
        <v>180</v>
      </c>
      <c r="G40" s="674">
        <f t="shared" si="15"/>
        <v>0</v>
      </c>
      <c r="H40" s="672">
        <f t="shared" si="14"/>
        <v>0</v>
      </c>
      <c r="I40" s="516">
        <f t="shared" si="0"/>
        <v>0</v>
      </c>
      <c r="J40" s="516">
        <f t="shared" si="1"/>
        <v>0</v>
      </c>
      <c r="K40" s="516">
        <f t="shared" si="2"/>
        <v>0</v>
      </c>
      <c r="L40" s="516">
        <f t="shared" si="3"/>
        <v>0</v>
      </c>
      <c r="M40" s="516">
        <f t="shared" si="4"/>
        <v>0</v>
      </c>
      <c r="N40" s="516">
        <f t="shared" si="5"/>
        <v>0</v>
      </c>
      <c r="O40" s="516">
        <f t="shared" si="6"/>
        <v>0</v>
      </c>
      <c r="P40" s="516">
        <f t="shared" si="7"/>
        <v>0</v>
      </c>
      <c r="Q40" s="516">
        <f t="shared" si="8"/>
        <v>0</v>
      </c>
      <c r="R40" s="516">
        <f t="shared" si="9"/>
        <v>0</v>
      </c>
      <c r="S40" s="516">
        <f t="shared" si="10"/>
        <v>0</v>
      </c>
      <c r="T40" s="516">
        <f t="shared" si="11"/>
        <v>0</v>
      </c>
      <c r="U40" s="516">
        <f t="shared" si="12"/>
        <v>0</v>
      </c>
      <c r="V40" s="511">
        <v>1</v>
      </c>
      <c r="W40" s="511">
        <v>1</v>
      </c>
      <c r="X40" s="511">
        <v>2</v>
      </c>
      <c r="Y40" s="511">
        <v>1</v>
      </c>
      <c r="Z40" s="511"/>
      <c r="AA40" s="511">
        <v>6</v>
      </c>
      <c r="AB40" s="511"/>
      <c r="AC40" s="511">
        <v>3</v>
      </c>
      <c r="AD40" s="511"/>
      <c r="AE40" s="511"/>
      <c r="AF40" s="511"/>
      <c r="AG40" s="511"/>
      <c r="AH40" s="511">
        <v>1</v>
      </c>
    </row>
    <row r="41" spans="1:34" ht="20.149999999999999" customHeight="1" x14ac:dyDescent="0.35">
      <c r="A41" s="517" t="s">
        <v>560</v>
      </c>
      <c r="B41" s="684"/>
      <c r="C41" s="340">
        <v>2400</v>
      </c>
      <c r="D41" s="188">
        <v>950</v>
      </c>
      <c r="E41" s="679"/>
      <c r="F41" s="671">
        <v>195</v>
      </c>
      <c r="G41" s="674">
        <f t="shared" si="15"/>
        <v>0</v>
      </c>
      <c r="H41" s="672">
        <f t="shared" si="14"/>
        <v>0</v>
      </c>
      <c r="I41" s="516">
        <f t="shared" si="0"/>
        <v>0</v>
      </c>
      <c r="J41" s="516">
        <f t="shared" si="1"/>
        <v>0</v>
      </c>
      <c r="K41" s="516">
        <f t="shared" si="2"/>
        <v>0</v>
      </c>
      <c r="L41" s="516">
        <f t="shared" si="3"/>
        <v>0</v>
      </c>
      <c r="M41" s="516">
        <f t="shared" si="4"/>
        <v>0</v>
      </c>
      <c r="N41" s="516">
        <f t="shared" si="5"/>
        <v>0</v>
      </c>
      <c r="O41" s="516">
        <f t="shared" si="6"/>
        <v>0</v>
      </c>
      <c r="P41" s="516">
        <f t="shared" si="7"/>
        <v>0</v>
      </c>
      <c r="Q41" s="516">
        <f t="shared" si="8"/>
        <v>0</v>
      </c>
      <c r="R41" s="516">
        <f t="shared" si="9"/>
        <v>0</v>
      </c>
      <c r="S41" s="516">
        <f t="shared" si="10"/>
        <v>0</v>
      </c>
      <c r="T41" s="516">
        <f t="shared" si="11"/>
        <v>0</v>
      </c>
      <c r="U41" s="516">
        <f t="shared" si="12"/>
        <v>0</v>
      </c>
      <c r="V41" s="511">
        <v>1</v>
      </c>
      <c r="W41" s="511">
        <v>1</v>
      </c>
      <c r="X41" s="511">
        <v>2</v>
      </c>
      <c r="Y41" s="511">
        <v>1</v>
      </c>
      <c r="Z41" s="511"/>
      <c r="AA41" s="511"/>
      <c r="AB41" s="511">
        <v>4</v>
      </c>
      <c r="AC41" s="511">
        <v>3</v>
      </c>
      <c r="AD41" s="511"/>
      <c r="AE41" s="511"/>
      <c r="AF41" s="511">
        <v>1</v>
      </c>
      <c r="AG41" s="511"/>
      <c r="AH41" s="511">
        <v>1</v>
      </c>
    </row>
    <row r="42" spans="1:34" ht="20.149999999999999" customHeight="1" x14ac:dyDescent="0.35">
      <c r="A42" s="517" t="s">
        <v>561</v>
      </c>
      <c r="B42" s="684"/>
      <c r="C42" s="340">
        <v>2400</v>
      </c>
      <c r="D42" s="188">
        <v>975</v>
      </c>
      <c r="E42" s="679"/>
      <c r="F42" s="671">
        <v>195</v>
      </c>
      <c r="G42" s="674">
        <f t="shared" si="15"/>
        <v>0</v>
      </c>
      <c r="H42" s="672">
        <f t="shared" si="14"/>
        <v>0</v>
      </c>
      <c r="I42" s="516">
        <f t="shared" si="0"/>
        <v>0</v>
      </c>
      <c r="J42" s="516">
        <f t="shared" si="1"/>
        <v>0</v>
      </c>
      <c r="K42" s="516">
        <f t="shared" si="2"/>
        <v>0</v>
      </c>
      <c r="L42" s="516">
        <f t="shared" si="3"/>
        <v>0</v>
      </c>
      <c r="M42" s="516">
        <f t="shared" si="4"/>
        <v>0</v>
      </c>
      <c r="N42" s="516">
        <f t="shared" si="5"/>
        <v>0</v>
      </c>
      <c r="O42" s="516">
        <f t="shared" si="6"/>
        <v>0</v>
      </c>
      <c r="P42" s="516">
        <f t="shared" si="7"/>
        <v>0</v>
      </c>
      <c r="Q42" s="516">
        <f t="shared" si="8"/>
        <v>0</v>
      </c>
      <c r="R42" s="516">
        <f t="shared" si="9"/>
        <v>0</v>
      </c>
      <c r="S42" s="516">
        <f t="shared" si="10"/>
        <v>0</v>
      </c>
      <c r="T42" s="516">
        <f t="shared" si="11"/>
        <v>0</v>
      </c>
      <c r="U42" s="516">
        <f t="shared" si="12"/>
        <v>0</v>
      </c>
      <c r="V42" s="511">
        <v>1</v>
      </c>
      <c r="W42" s="511">
        <v>1</v>
      </c>
      <c r="X42" s="511">
        <v>2</v>
      </c>
      <c r="Y42" s="511">
        <v>1</v>
      </c>
      <c r="Z42" s="511"/>
      <c r="AA42" s="511">
        <v>4</v>
      </c>
      <c r="AB42" s="511"/>
      <c r="AC42" s="511">
        <v>3</v>
      </c>
      <c r="AD42" s="511"/>
      <c r="AE42" s="511"/>
      <c r="AF42" s="511"/>
      <c r="AG42" s="511">
        <v>1</v>
      </c>
      <c r="AH42" s="511">
        <v>1</v>
      </c>
    </row>
    <row r="43" spans="1:34" ht="20.149999999999999" customHeight="1" x14ac:dyDescent="0.35">
      <c r="A43" s="517" t="s">
        <v>562</v>
      </c>
      <c r="B43" s="684"/>
      <c r="C43" s="340">
        <v>2400</v>
      </c>
      <c r="D43" s="188">
        <v>1220</v>
      </c>
      <c r="E43" s="679"/>
      <c r="F43" s="671">
        <v>215</v>
      </c>
      <c r="G43" s="674">
        <f t="shared" si="15"/>
        <v>0</v>
      </c>
      <c r="H43" s="672">
        <f t="shared" si="14"/>
        <v>0</v>
      </c>
      <c r="I43" s="516">
        <f t="shared" si="0"/>
        <v>0</v>
      </c>
      <c r="J43" s="516">
        <f t="shared" si="1"/>
        <v>0</v>
      </c>
      <c r="K43" s="516">
        <f t="shared" si="2"/>
        <v>0</v>
      </c>
      <c r="L43" s="516">
        <f t="shared" si="3"/>
        <v>0</v>
      </c>
      <c r="M43" s="516">
        <f t="shared" si="4"/>
        <v>0</v>
      </c>
      <c r="N43" s="516">
        <f t="shared" si="5"/>
        <v>0</v>
      </c>
      <c r="O43" s="516">
        <f t="shared" si="6"/>
        <v>0</v>
      </c>
      <c r="P43" s="516">
        <f t="shared" si="7"/>
        <v>0</v>
      </c>
      <c r="Q43" s="516">
        <f t="shared" si="8"/>
        <v>0</v>
      </c>
      <c r="R43" s="516">
        <f t="shared" si="9"/>
        <v>0</v>
      </c>
      <c r="S43" s="516">
        <f t="shared" si="10"/>
        <v>0</v>
      </c>
      <c r="T43" s="516">
        <f t="shared" si="11"/>
        <v>0</v>
      </c>
      <c r="U43" s="516">
        <f t="shared" si="12"/>
        <v>0</v>
      </c>
      <c r="V43" s="511">
        <v>1</v>
      </c>
      <c r="W43" s="511">
        <v>1</v>
      </c>
      <c r="X43" s="511">
        <v>2</v>
      </c>
      <c r="Y43" s="511">
        <v>1</v>
      </c>
      <c r="Z43" s="511"/>
      <c r="AA43" s="511"/>
      <c r="AB43" s="511">
        <v>2</v>
      </c>
      <c r="AC43" s="511">
        <v>3</v>
      </c>
      <c r="AD43" s="511"/>
      <c r="AE43" s="511"/>
      <c r="AF43" s="511">
        <v>2</v>
      </c>
      <c r="AG43" s="511"/>
      <c r="AH43" s="511">
        <v>1</v>
      </c>
    </row>
    <row r="44" spans="1:34" ht="20.149999999999999" customHeight="1" x14ac:dyDescent="0.35">
      <c r="A44" s="517" t="s">
        <v>563</v>
      </c>
      <c r="B44" s="684"/>
      <c r="C44" s="340">
        <v>2400</v>
      </c>
      <c r="D44" s="188">
        <v>1230</v>
      </c>
      <c r="E44" s="679"/>
      <c r="F44" s="666">
        <v>215</v>
      </c>
      <c r="G44" s="672">
        <f t="shared" si="15"/>
        <v>0</v>
      </c>
      <c r="H44" s="672">
        <f t="shared" si="14"/>
        <v>0</v>
      </c>
      <c r="I44" s="516">
        <f t="shared" si="0"/>
        <v>0</v>
      </c>
      <c r="J44" s="516">
        <f t="shared" si="1"/>
        <v>0</v>
      </c>
      <c r="K44" s="516">
        <f t="shared" si="2"/>
        <v>0</v>
      </c>
      <c r="L44" s="516">
        <f t="shared" si="3"/>
        <v>0</v>
      </c>
      <c r="M44" s="516">
        <f t="shared" si="4"/>
        <v>0</v>
      </c>
      <c r="N44" s="516">
        <f t="shared" si="5"/>
        <v>0</v>
      </c>
      <c r="O44" s="516">
        <f t="shared" si="6"/>
        <v>0</v>
      </c>
      <c r="P44" s="516">
        <f t="shared" si="7"/>
        <v>0</v>
      </c>
      <c r="Q44" s="516">
        <f t="shared" si="8"/>
        <v>0</v>
      </c>
      <c r="R44" s="516">
        <f t="shared" si="9"/>
        <v>0</v>
      </c>
      <c r="S44" s="516">
        <f t="shared" si="10"/>
        <v>0</v>
      </c>
      <c r="T44" s="516">
        <f t="shared" si="11"/>
        <v>0</v>
      </c>
      <c r="U44" s="516">
        <f t="shared" si="12"/>
        <v>0</v>
      </c>
      <c r="V44" s="511">
        <v>1</v>
      </c>
      <c r="W44" s="511">
        <v>1</v>
      </c>
      <c r="X44" s="511">
        <v>2</v>
      </c>
      <c r="Y44" s="511">
        <v>1</v>
      </c>
      <c r="Z44" s="511"/>
      <c r="AA44" s="511">
        <v>2</v>
      </c>
      <c r="AB44" s="511"/>
      <c r="AC44" s="511">
        <v>3</v>
      </c>
      <c r="AD44" s="511"/>
      <c r="AE44" s="511"/>
      <c r="AF44" s="511"/>
      <c r="AG44" s="511">
        <v>2</v>
      </c>
      <c r="AH44" s="511">
        <v>1</v>
      </c>
    </row>
    <row r="45" spans="1:34" ht="20.149999999999999" customHeight="1" x14ac:dyDescent="0.35">
      <c r="B45" s="340"/>
      <c r="C45" s="340"/>
      <c r="F45" s="669"/>
      <c r="G45" s="675"/>
      <c r="H45"/>
    </row>
    <row r="46" spans="1:34" ht="30" customHeight="1" x14ac:dyDescent="0.35">
      <c r="A46" s="506" t="s">
        <v>565</v>
      </c>
      <c r="B46" s="684"/>
      <c r="C46" s="340" t="s">
        <v>609</v>
      </c>
      <c r="D46" s="188">
        <v>1480</v>
      </c>
      <c r="E46" s="679"/>
      <c r="F46" s="683">
        <v>275</v>
      </c>
      <c r="G46" s="672">
        <f t="shared" ref="G46:G55" si="16">D46*E46</f>
        <v>0</v>
      </c>
      <c r="H46" s="672">
        <f t="shared" si="14"/>
        <v>0</v>
      </c>
      <c r="I46" s="508">
        <f t="shared" ref="I46:I55" si="17">E46*V46</f>
        <v>0</v>
      </c>
      <c r="J46" s="508">
        <f t="shared" ref="J46:J55" si="18">W46*E46</f>
        <v>0</v>
      </c>
      <c r="K46" s="508">
        <f t="shared" ref="K46:K55" si="19">X46*E46</f>
        <v>0</v>
      </c>
      <c r="L46" s="508">
        <f t="shared" ref="L46:L55" si="20">Y46*E46</f>
        <v>0</v>
      </c>
      <c r="M46" s="508">
        <f t="shared" ref="M46:M55" si="21">Z46*E46</f>
        <v>0</v>
      </c>
      <c r="N46" s="508">
        <f t="shared" ref="N46:N55" si="22">AA46*E46</f>
        <v>0</v>
      </c>
      <c r="O46" s="508">
        <f t="shared" ref="O46:O55" si="23">AB46*E46</f>
        <v>0</v>
      </c>
      <c r="P46" s="508">
        <f t="shared" ref="P46:P55" si="24">AC46*E46</f>
        <v>0</v>
      </c>
      <c r="Q46" s="508">
        <f t="shared" ref="Q46:Q55" si="25">AD46*E46</f>
        <v>0</v>
      </c>
      <c r="R46" s="508">
        <f t="shared" ref="R46:R55" si="26">AE46*E46</f>
        <v>0</v>
      </c>
      <c r="S46" s="508">
        <f t="shared" ref="S46:S55" si="27">AF46*E46</f>
        <v>0</v>
      </c>
      <c r="T46" s="508">
        <f t="shared" ref="T46:T55" si="28">AG46*E46</f>
        <v>0</v>
      </c>
      <c r="U46" s="509">
        <f t="shared" ref="U46:U55" si="29">AH46*E46</f>
        <v>0</v>
      </c>
      <c r="V46" s="507">
        <v>2</v>
      </c>
      <c r="W46" s="507">
        <v>2</v>
      </c>
      <c r="X46" s="507">
        <v>2</v>
      </c>
      <c r="Y46" s="507">
        <v>4</v>
      </c>
      <c r="Z46" s="507"/>
      <c r="AA46" s="507">
        <v>5</v>
      </c>
      <c r="AB46" s="507"/>
      <c r="AC46" s="507">
        <v>4</v>
      </c>
      <c r="AD46" s="507">
        <v>1</v>
      </c>
      <c r="AE46" s="507"/>
      <c r="AF46" s="507"/>
      <c r="AG46" s="507">
        <v>1</v>
      </c>
      <c r="AH46" s="507"/>
    </row>
    <row r="47" spans="1:34" ht="30" customHeight="1" x14ac:dyDescent="0.35">
      <c r="A47" s="506" t="s">
        <v>566</v>
      </c>
      <c r="B47" s="684"/>
      <c r="C47" s="709" t="s">
        <v>610</v>
      </c>
      <c r="D47" s="188">
        <v>1510</v>
      </c>
      <c r="E47" s="679"/>
      <c r="F47" s="683">
        <v>335</v>
      </c>
      <c r="G47" s="674">
        <f t="shared" si="16"/>
        <v>0</v>
      </c>
      <c r="H47" s="672">
        <f t="shared" si="14"/>
        <v>0</v>
      </c>
      <c r="I47" s="508">
        <f t="shared" si="17"/>
        <v>0</v>
      </c>
      <c r="J47" s="508">
        <f t="shared" si="18"/>
        <v>0</v>
      </c>
      <c r="K47" s="508">
        <f t="shared" si="19"/>
        <v>0</v>
      </c>
      <c r="L47" s="508">
        <f t="shared" si="20"/>
        <v>0</v>
      </c>
      <c r="M47" s="508">
        <f t="shared" si="21"/>
        <v>0</v>
      </c>
      <c r="N47" s="508">
        <f t="shared" si="22"/>
        <v>0</v>
      </c>
      <c r="O47" s="508">
        <f t="shared" si="23"/>
        <v>0</v>
      </c>
      <c r="P47" s="508">
        <f t="shared" si="24"/>
        <v>0</v>
      </c>
      <c r="Q47" s="508">
        <f t="shared" si="25"/>
        <v>0</v>
      </c>
      <c r="R47" s="508">
        <f t="shared" si="26"/>
        <v>0</v>
      </c>
      <c r="S47" s="508">
        <f t="shared" si="27"/>
        <v>0</v>
      </c>
      <c r="T47" s="508">
        <f t="shared" si="28"/>
        <v>0</v>
      </c>
      <c r="U47" s="509">
        <f t="shared" si="29"/>
        <v>0</v>
      </c>
      <c r="V47" s="507">
        <v>2</v>
      </c>
      <c r="W47" s="507">
        <v>2</v>
      </c>
      <c r="X47" s="507">
        <v>4</v>
      </c>
      <c r="Y47" s="507">
        <v>3</v>
      </c>
      <c r="Z47" s="507"/>
      <c r="AA47" s="507">
        <v>13</v>
      </c>
      <c r="AB47" s="507"/>
      <c r="AC47" s="507">
        <v>4</v>
      </c>
      <c r="AD47" s="507">
        <v>1</v>
      </c>
      <c r="AE47" s="507"/>
      <c r="AF47" s="507"/>
      <c r="AG47" s="507"/>
      <c r="AH47" s="507"/>
    </row>
    <row r="48" spans="1:34" ht="30" customHeight="1" x14ac:dyDescent="0.35">
      <c r="A48" s="506" t="s">
        <v>567</v>
      </c>
      <c r="B48" s="684"/>
      <c r="C48" s="340" t="s">
        <v>609</v>
      </c>
      <c r="D48" s="188">
        <v>1770</v>
      </c>
      <c r="E48" s="679"/>
      <c r="F48" s="683">
        <v>305</v>
      </c>
      <c r="G48" s="674">
        <f t="shared" si="16"/>
        <v>0</v>
      </c>
      <c r="H48" s="672">
        <f t="shared" si="14"/>
        <v>0</v>
      </c>
      <c r="I48" s="508">
        <f t="shared" si="17"/>
        <v>0</v>
      </c>
      <c r="J48" s="508">
        <f t="shared" si="18"/>
        <v>0</v>
      </c>
      <c r="K48" s="508">
        <f t="shared" si="19"/>
        <v>0</v>
      </c>
      <c r="L48" s="508">
        <f t="shared" si="20"/>
        <v>0</v>
      </c>
      <c r="M48" s="508">
        <f t="shared" si="21"/>
        <v>0</v>
      </c>
      <c r="N48" s="508">
        <f t="shared" si="22"/>
        <v>0</v>
      </c>
      <c r="O48" s="508">
        <f t="shared" si="23"/>
        <v>0</v>
      </c>
      <c r="P48" s="508">
        <f t="shared" si="24"/>
        <v>0</v>
      </c>
      <c r="Q48" s="508">
        <f t="shared" si="25"/>
        <v>0</v>
      </c>
      <c r="R48" s="508">
        <f t="shared" si="26"/>
        <v>0</v>
      </c>
      <c r="S48" s="508">
        <f t="shared" si="27"/>
        <v>0</v>
      </c>
      <c r="T48" s="508">
        <f t="shared" si="28"/>
        <v>0</v>
      </c>
      <c r="U48" s="509">
        <f t="shared" si="29"/>
        <v>0</v>
      </c>
      <c r="V48" s="507">
        <v>2</v>
      </c>
      <c r="W48" s="507">
        <v>2</v>
      </c>
      <c r="X48" s="507">
        <v>2</v>
      </c>
      <c r="Y48" s="507">
        <v>4</v>
      </c>
      <c r="Z48" s="507"/>
      <c r="AA48" s="507">
        <v>3</v>
      </c>
      <c r="AB48" s="507"/>
      <c r="AC48" s="507">
        <v>4</v>
      </c>
      <c r="AD48" s="507">
        <v>1</v>
      </c>
      <c r="AE48" s="507"/>
      <c r="AF48" s="507"/>
      <c r="AG48" s="507">
        <v>2</v>
      </c>
      <c r="AH48" s="507"/>
    </row>
    <row r="49" spans="1:34" ht="30" customHeight="1" x14ac:dyDescent="0.35">
      <c r="A49" s="506" t="s">
        <v>572</v>
      </c>
      <c r="B49" s="684"/>
      <c r="C49" s="340" t="s">
        <v>611</v>
      </c>
      <c r="D49" s="188">
        <v>1885</v>
      </c>
      <c r="E49" s="679"/>
      <c r="F49" s="683">
        <v>425</v>
      </c>
      <c r="G49" s="674">
        <f t="shared" si="16"/>
        <v>0</v>
      </c>
      <c r="H49" s="672">
        <f t="shared" si="14"/>
        <v>0</v>
      </c>
      <c r="I49" s="508">
        <f t="shared" si="17"/>
        <v>0</v>
      </c>
      <c r="J49" s="508">
        <f t="shared" si="18"/>
        <v>0</v>
      </c>
      <c r="K49" s="508">
        <f t="shared" si="19"/>
        <v>0</v>
      </c>
      <c r="L49" s="508">
        <f t="shared" si="20"/>
        <v>0</v>
      </c>
      <c r="M49" s="508">
        <f t="shared" si="21"/>
        <v>0</v>
      </c>
      <c r="N49" s="508">
        <f t="shared" si="22"/>
        <v>0</v>
      </c>
      <c r="O49" s="508">
        <f t="shared" si="23"/>
        <v>0</v>
      </c>
      <c r="P49" s="508">
        <f t="shared" si="24"/>
        <v>0</v>
      </c>
      <c r="Q49" s="508">
        <f t="shared" si="25"/>
        <v>0</v>
      </c>
      <c r="R49" s="508">
        <f t="shared" si="26"/>
        <v>0</v>
      </c>
      <c r="S49" s="508">
        <f t="shared" si="27"/>
        <v>0</v>
      </c>
      <c r="T49" s="508">
        <f t="shared" si="28"/>
        <v>0</v>
      </c>
      <c r="U49" s="509">
        <f t="shared" si="29"/>
        <v>0</v>
      </c>
      <c r="V49" s="507">
        <v>3</v>
      </c>
      <c r="W49" s="507">
        <v>3</v>
      </c>
      <c r="X49" s="507">
        <v>4</v>
      </c>
      <c r="Y49" s="507">
        <v>5</v>
      </c>
      <c r="Z49" s="507"/>
      <c r="AA49" s="507">
        <v>13</v>
      </c>
      <c r="AB49" s="507"/>
      <c r="AC49" s="507">
        <v>6</v>
      </c>
      <c r="AD49" s="507">
        <v>1</v>
      </c>
      <c r="AE49" s="507"/>
      <c r="AF49" s="507"/>
      <c r="AG49" s="507"/>
      <c r="AH49" s="507"/>
    </row>
    <row r="50" spans="1:34" ht="30" customHeight="1" x14ac:dyDescent="0.35">
      <c r="A50" s="506" t="s">
        <v>571</v>
      </c>
      <c r="B50" s="684"/>
      <c r="C50" s="709" t="s">
        <v>612</v>
      </c>
      <c r="D50" s="188">
        <v>2110</v>
      </c>
      <c r="E50" s="679"/>
      <c r="F50" s="683">
        <v>535</v>
      </c>
      <c r="G50" s="674">
        <f t="shared" si="16"/>
        <v>0</v>
      </c>
      <c r="H50" s="672">
        <f t="shared" si="14"/>
        <v>0</v>
      </c>
      <c r="I50" s="508">
        <f t="shared" si="17"/>
        <v>0</v>
      </c>
      <c r="J50" s="508">
        <f t="shared" si="18"/>
        <v>0</v>
      </c>
      <c r="K50" s="508">
        <f t="shared" si="19"/>
        <v>0</v>
      </c>
      <c r="L50" s="508">
        <f t="shared" si="20"/>
        <v>0</v>
      </c>
      <c r="M50" s="508">
        <f t="shared" si="21"/>
        <v>0</v>
      </c>
      <c r="N50" s="508">
        <f t="shared" si="22"/>
        <v>0</v>
      </c>
      <c r="O50" s="508">
        <f t="shared" si="23"/>
        <v>0</v>
      </c>
      <c r="P50" s="508">
        <f t="shared" si="24"/>
        <v>0</v>
      </c>
      <c r="Q50" s="508">
        <f t="shared" si="25"/>
        <v>0</v>
      </c>
      <c r="R50" s="508">
        <f t="shared" si="26"/>
        <v>0</v>
      </c>
      <c r="S50" s="508">
        <f t="shared" si="27"/>
        <v>0</v>
      </c>
      <c r="T50" s="508">
        <f t="shared" si="28"/>
        <v>0</v>
      </c>
      <c r="U50" s="509">
        <f t="shared" si="29"/>
        <v>0</v>
      </c>
      <c r="V50" s="507">
        <v>2</v>
      </c>
      <c r="W50" s="507">
        <v>2</v>
      </c>
      <c r="X50" s="507">
        <v>4</v>
      </c>
      <c r="Y50" s="507">
        <v>3</v>
      </c>
      <c r="Z50" s="507"/>
      <c r="AA50" s="507">
        <v>9</v>
      </c>
      <c r="AB50" s="507"/>
      <c r="AC50" s="507">
        <v>4</v>
      </c>
      <c r="AD50" s="507">
        <v>1</v>
      </c>
      <c r="AE50" s="507"/>
      <c r="AF50" s="507"/>
      <c r="AG50" s="507">
        <v>2</v>
      </c>
      <c r="AH50" s="507"/>
    </row>
    <row r="51" spans="1:34" ht="30" customHeight="1" x14ac:dyDescent="0.35">
      <c r="A51" s="506" t="s">
        <v>570</v>
      </c>
      <c r="B51" s="684"/>
      <c r="C51" s="340" t="s">
        <v>613</v>
      </c>
      <c r="D51" s="188">
        <v>2535</v>
      </c>
      <c r="E51" s="679"/>
      <c r="F51" s="683">
        <v>480</v>
      </c>
      <c r="G51" s="674">
        <f t="shared" si="16"/>
        <v>0</v>
      </c>
      <c r="H51" s="672">
        <f t="shared" si="14"/>
        <v>0</v>
      </c>
      <c r="I51" s="508">
        <f t="shared" si="17"/>
        <v>0</v>
      </c>
      <c r="J51" s="508">
        <f t="shared" si="18"/>
        <v>0</v>
      </c>
      <c r="K51" s="508">
        <f t="shared" si="19"/>
        <v>0</v>
      </c>
      <c r="L51" s="508">
        <f t="shared" si="20"/>
        <v>0</v>
      </c>
      <c r="M51" s="508">
        <f t="shared" si="21"/>
        <v>0</v>
      </c>
      <c r="N51" s="508">
        <f t="shared" si="22"/>
        <v>0</v>
      </c>
      <c r="O51" s="508">
        <f t="shared" si="23"/>
        <v>0</v>
      </c>
      <c r="P51" s="508">
        <f t="shared" si="24"/>
        <v>0</v>
      </c>
      <c r="Q51" s="508">
        <f t="shared" si="25"/>
        <v>0</v>
      </c>
      <c r="R51" s="508">
        <f t="shared" si="26"/>
        <v>0</v>
      </c>
      <c r="S51" s="508">
        <f t="shared" si="27"/>
        <v>0</v>
      </c>
      <c r="T51" s="508">
        <f t="shared" si="28"/>
        <v>0</v>
      </c>
      <c r="U51" s="509">
        <f t="shared" si="29"/>
        <v>0</v>
      </c>
      <c r="V51" s="507">
        <v>3</v>
      </c>
      <c r="W51" s="507">
        <v>3</v>
      </c>
      <c r="X51" s="507">
        <v>4</v>
      </c>
      <c r="Y51" s="507">
        <v>6</v>
      </c>
      <c r="Z51" s="507"/>
      <c r="AA51" s="507">
        <v>10</v>
      </c>
      <c r="AB51" s="507"/>
      <c r="AC51" s="507">
        <v>6</v>
      </c>
      <c r="AD51" s="507">
        <v>2</v>
      </c>
      <c r="AE51" s="507"/>
      <c r="AF51" s="507"/>
      <c r="AG51" s="507">
        <v>2</v>
      </c>
      <c r="AH51" s="507"/>
    </row>
    <row r="52" spans="1:34" ht="30" customHeight="1" x14ac:dyDescent="0.35">
      <c r="A52" s="506" t="s">
        <v>569</v>
      </c>
      <c r="B52" s="684"/>
      <c r="C52" s="340" t="s">
        <v>614</v>
      </c>
      <c r="D52" s="188">
        <v>2600</v>
      </c>
      <c r="E52" s="679"/>
      <c r="F52" s="683">
        <v>405</v>
      </c>
      <c r="G52" s="674">
        <f t="shared" si="16"/>
        <v>0</v>
      </c>
      <c r="H52" s="672">
        <f t="shared" si="14"/>
        <v>0</v>
      </c>
      <c r="I52" s="508">
        <f t="shared" si="17"/>
        <v>0</v>
      </c>
      <c r="J52" s="508">
        <f t="shared" si="18"/>
        <v>0</v>
      </c>
      <c r="K52" s="508">
        <f t="shared" si="19"/>
        <v>0</v>
      </c>
      <c r="L52" s="508">
        <f t="shared" si="20"/>
        <v>0</v>
      </c>
      <c r="M52" s="508">
        <f t="shared" si="21"/>
        <v>0</v>
      </c>
      <c r="N52" s="508">
        <f t="shared" si="22"/>
        <v>0</v>
      </c>
      <c r="O52" s="508">
        <f t="shared" si="23"/>
        <v>0</v>
      </c>
      <c r="P52" s="508">
        <f t="shared" si="24"/>
        <v>0</v>
      </c>
      <c r="Q52" s="508">
        <f t="shared" si="25"/>
        <v>0</v>
      </c>
      <c r="R52" s="508">
        <f t="shared" si="26"/>
        <v>0</v>
      </c>
      <c r="S52" s="508">
        <f t="shared" si="27"/>
        <v>0</v>
      </c>
      <c r="T52" s="508">
        <f t="shared" si="28"/>
        <v>0</v>
      </c>
      <c r="U52" s="509">
        <f t="shared" si="29"/>
        <v>0</v>
      </c>
      <c r="V52" s="507">
        <v>2</v>
      </c>
      <c r="W52" s="507">
        <v>2</v>
      </c>
      <c r="X52" s="507">
        <v>4</v>
      </c>
      <c r="Y52" s="507">
        <v>3</v>
      </c>
      <c r="Z52" s="507"/>
      <c r="AA52" s="507">
        <v>5</v>
      </c>
      <c r="AB52" s="507"/>
      <c r="AC52" s="507">
        <v>4</v>
      </c>
      <c r="AD52" s="507">
        <v>1</v>
      </c>
      <c r="AE52" s="507"/>
      <c r="AF52" s="507"/>
      <c r="AG52" s="507">
        <v>4</v>
      </c>
      <c r="AH52" s="507"/>
    </row>
    <row r="53" spans="1:34" ht="30" customHeight="1" x14ac:dyDescent="0.35">
      <c r="A53" s="506" t="s">
        <v>568</v>
      </c>
      <c r="B53" s="684"/>
      <c r="C53" s="340" t="s">
        <v>615</v>
      </c>
      <c r="D53" s="188">
        <v>2664</v>
      </c>
      <c r="E53" s="679"/>
      <c r="F53" s="683">
        <v>485</v>
      </c>
      <c r="G53" s="674">
        <f t="shared" si="16"/>
        <v>0</v>
      </c>
      <c r="H53" s="672">
        <f t="shared" si="14"/>
        <v>0</v>
      </c>
      <c r="I53" s="508">
        <f t="shared" si="17"/>
        <v>0</v>
      </c>
      <c r="J53" s="508">
        <f t="shared" si="18"/>
        <v>0</v>
      </c>
      <c r="K53" s="508">
        <f t="shared" si="19"/>
        <v>0</v>
      </c>
      <c r="L53" s="508">
        <f t="shared" si="20"/>
        <v>0</v>
      </c>
      <c r="M53" s="508">
        <f t="shared" si="21"/>
        <v>0</v>
      </c>
      <c r="N53" s="508">
        <f t="shared" si="22"/>
        <v>0</v>
      </c>
      <c r="O53" s="508">
        <f t="shared" si="23"/>
        <v>0</v>
      </c>
      <c r="P53" s="508">
        <f t="shared" si="24"/>
        <v>0</v>
      </c>
      <c r="Q53" s="508">
        <f t="shared" si="25"/>
        <v>0</v>
      </c>
      <c r="R53" s="508">
        <f t="shared" si="26"/>
        <v>0</v>
      </c>
      <c r="S53" s="508">
        <f t="shared" si="27"/>
        <v>0</v>
      </c>
      <c r="T53" s="508">
        <f t="shared" si="28"/>
        <v>0</v>
      </c>
      <c r="U53" s="509">
        <f t="shared" si="29"/>
        <v>0</v>
      </c>
      <c r="V53" s="507">
        <v>3</v>
      </c>
      <c r="W53" s="507">
        <v>3</v>
      </c>
      <c r="X53" s="507">
        <v>5</v>
      </c>
      <c r="Y53" s="507">
        <v>3</v>
      </c>
      <c r="Z53" s="507"/>
      <c r="AA53" s="507">
        <v>13</v>
      </c>
      <c r="AB53" s="507"/>
      <c r="AC53" s="507">
        <v>4</v>
      </c>
      <c r="AD53" s="507">
        <v>1</v>
      </c>
      <c r="AE53" s="507"/>
      <c r="AF53" s="507"/>
      <c r="AG53" s="507">
        <v>3</v>
      </c>
      <c r="AH53" s="507"/>
    </row>
    <row r="54" spans="1:34" ht="30" customHeight="1" x14ac:dyDescent="0.35">
      <c r="A54" s="506" t="s">
        <v>564</v>
      </c>
      <c r="B54" s="684"/>
      <c r="C54" s="340" t="s">
        <v>613</v>
      </c>
      <c r="D54" s="188">
        <v>2805</v>
      </c>
      <c r="E54" s="679"/>
      <c r="F54" s="683">
        <v>535</v>
      </c>
      <c r="G54" s="674">
        <f t="shared" si="16"/>
        <v>0</v>
      </c>
      <c r="H54" s="672">
        <f t="shared" si="14"/>
        <v>0</v>
      </c>
      <c r="I54" s="508">
        <f t="shared" si="17"/>
        <v>0</v>
      </c>
      <c r="J54" s="508">
        <f t="shared" si="18"/>
        <v>0</v>
      </c>
      <c r="K54" s="508">
        <f t="shared" si="19"/>
        <v>0</v>
      </c>
      <c r="L54" s="508">
        <f t="shared" si="20"/>
        <v>0</v>
      </c>
      <c r="M54" s="508">
        <f t="shared" si="21"/>
        <v>0</v>
      </c>
      <c r="N54" s="508">
        <f t="shared" si="22"/>
        <v>0</v>
      </c>
      <c r="O54" s="508">
        <f t="shared" si="23"/>
        <v>0</v>
      </c>
      <c r="P54" s="508">
        <f t="shared" si="24"/>
        <v>0</v>
      </c>
      <c r="Q54" s="508">
        <f t="shared" si="25"/>
        <v>0</v>
      </c>
      <c r="R54" s="508">
        <f t="shared" si="26"/>
        <v>0</v>
      </c>
      <c r="S54" s="508">
        <f t="shared" si="27"/>
        <v>0</v>
      </c>
      <c r="T54" s="508">
        <f t="shared" si="28"/>
        <v>0</v>
      </c>
      <c r="U54" s="509">
        <f t="shared" si="29"/>
        <v>0</v>
      </c>
      <c r="V54" s="507">
        <v>3</v>
      </c>
      <c r="W54" s="507">
        <v>3</v>
      </c>
      <c r="X54" s="507">
        <v>6</v>
      </c>
      <c r="Y54" s="507">
        <v>4</v>
      </c>
      <c r="Z54" s="507"/>
      <c r="AA54" s="507">
        <v>15</v>
      </c>
      <c r="AB54" s="507"/>
      <c r="AC54" s="507">
        <v>6</v>
      </c>
      <c r="AD54" s="507">
        <v>1</v>
      </c>
      <c r="AE54" s="507"/>
      <c r="AF54" s="507"/>
      <c r="AG54" s="507">
        <v>2</v>
      </c>
      <c r="AH54" s="507"/>
    </row>
    <row r="55" spans="1:34" ht="30" customHeight="1" x14ac:dyDescent="0.35">
      <c r="A55" s="506" t="s">
        <v>573</v>
      </c>
      <c r="B55" s="684"/>
      <c r="C55" s="340" t="s">
        <v>616</v>
      </c>
      <c r="D55" s="188">
        <v>3075</v>
      </c>
      <c r="E55" s="679"/>
      <c r="F55" s="683">
        <v>520</v>
      </c>
      <c r="G55" s="674">
        <f t="shared" si="16"/>
        <v>0</v>
      </c>
      <c r="H55" s="672">
        <f t="shared" si="14"/>
        <v>0</v>
      </c>
      <c r="I55" s="508">
        <f t="shared" si="17"/>
        <v>0</v>
      </c>
      <c r="J55" s="508">
        <f t="shared" si="18"/>
        <v>0</v>
      </c>
      <c r="K55" s="508">
        <f t="shared" si="19"/>
        <v>0</v>
      </c>
      <c r="L55" s="508">
        <f t="shared" si="20"/>
        <v>0</v>
      </c>
      <c r="M55" s="508">
        <f t="shared" si="21"/>
        <v>0</v>
      </c>
      <c r="N55" s="508">
        <f t="shared" si="22"/>
        <v>0</v>
      </c>
      <c r="O55" s="508">
        <f t="shared" si="23"/>
        <v>0</v>
      </c>
      <c r="P55" s="508">
        <f t="shared" si="24"/>
        <v>0</v>
      </c>
      <c r="Q55" s="508">
        <f t="shared" si="25"/>
        <v>0</v>
      </c>
      <c r="R55" s="508">
        <f t="shared" si="26"/>
        <v>0</v>
      </c>
      <c r="S55" s="508">
        <f t="shared" si="27"/>
        <v>0</v>
      </c>
      <c r="T55" s="508">
        <f t="shared" si="28"/>
        <v>0</v>
      </c>
      <c r="U55" s="509">
        <f t="shared" si="29"/>
        <v>0</v>
      </c>
      <c r="V55" s="507">
        <v>3</v>
      </c>
      <c r="W55" s="507">
        <v>3</v>
      </c>
      <c r="X55" s="507">
        <v>6</v>
      </c>
      <c r="Y55" s="507">
        <v>4</v>
      </c>
      <c r="Z55" s="507"/>
      <c r="AA55" s="507">
        <v>15</v>
      </c>
      <c r="AB55" s="507"/>
      <c r="AC55" s="507">
        <v>4</v>
      </c>
      <c r="AD55" s="507">
        <v>3</v>
      </c>
      <c r="AE55" s="507"/>
      <c r="AF55" s="507"/>
      <c r="AG55" s="507">
        <v>3</v>
      </c>
      <c r="AH55" s="507"/>
    </row>
    <row r="56" spans="1:34" ht="20.149999999999999" customHeight="1" x14ac:dyDescent="0.35">
      <c r="F56" s="669"/>
      <c r="G56" s="311" t="s">
        <v>596</v>
      </c>
      <c r="H56" s="311" t="s">
        <v>591</v>
      </c>
    </row>
    <row r="57" spans="1:34" ht="30" customHeight="1" x14ac:dyDescent="0.35">
      <c r="A57" s="515" t="s">
        <v>439</v>
      </c>
      <c r="B57" s="515"/>
      <c r="C57" s="515"/>
      <c r="D57" s="515"/>
      <c r="E57" s="512"/>
      <c r="F57" s="512"/>
      <c r="G57" s="513">
        <f>SUM(G3:G55)</f>
        <v>0</v>
      </c>
      <c r="H57" s="513">
        <f>SUM(H3:H55)</f>
        <v>0</v>
      </c>
      <c r="I57" s="514">
        <f t="shared" ref="I57:U57" si="30">SUM(I3:I55)</f>
        <v>0</v>
      </c>
      <c r="J57" s="514">
        <f t="shared" si="30"/>
        <v>0</v>
      </c>
      <c r="K57" s="514">
        <f t="shared" si="30"/>
        <v>0</v>
      </c>
      <c r="L57" s="514">
        <f>SUM(L3:L55)</f>
        <v>0</v>
      </c>
      <c r="M57" s="514">
        <f t="shared" si="30"/>
        <v>0</v>
      </c>
      <c r="N57" s="514">
        <f t="shared" si="30"/>
        <v>0</v>
      </c>
      <c r="O57" s="514">
        <f t="shared" si="30"/>
        <v>0</v>
      </c>
      <c r="P57" s="514">
        <f t="shared" si="30"/>
        <v>0</v>
      </c>
      <c r="Q57" s="514">
        <f t="shared" si="30"/>
        <v>0</v>
      </c>
      <c r="R57" s="514">
        <f t="shared" si="30"/>
        <v>0</v>
      </c>
      <c r="S57" s="514">
        <f t="shared" si="30"/>
        <v>0</v>
      </c>
      <c r="T57" s="514">
        <f t="shared" si="30"/>
        <v>0</v>
      </c>
      <c r="U57" s="514">
        <f t="shared" si="30"/>
        <v>0</v>
      </c>
    </row>
  </sheetData>
  <mergeCells count="2">
    <mergeCell ref="V1:AH1"/>
    <mergeCell ref="I1:U1"/>
  </mergeCells>
  <hyperlinks>
    <hyperlink ref="A46" r:id="rId1" tooltip="3B and 2 &quot;L&quot; Shape Walk In Wardrobes Combination" display="https://simplywardrobes.co.nz/collections/i-robe-walk-in-1/products/i-robe-walk-in-wardrobe-l-shape-copy" xr:uid="{34F83C30-71B2-45BD-9C02-14B750DD939C}"/>
    <hyperlink ref="A47" r:id="rId2" tooltip="4 and 3 &quot;L&quot; Shape Walk In Wardrobes Combination" display="https://simplywardrobes.co.nz/collections/i-robe-walk-in-1/products/4-and-3-l-shape-walk-in-wardrobe-combination" xr:uid="{5E13A588-3EAD-46B6-A92A-F4F2808032D4}"/>
    <hyperlink ref="A48" r:id="rId3" tooltip="3B(6 x Drawers) and 2 &quot;L&quot; Shape Walk In Wardrobes Combination" display="https://simplywardrobes.co.nz/collections/i-robe-walk-in-1/products/i-robe-walk-in-wardrobe-l-shape-copy-1" xr:uid="{F6347FD7-B726-431D-829F-7BA437FBA5FE}"/>
    <hyperlink ref="A55" r:id="rId4" tooltip="6A and 5 &quot;L&quot; Shape Walk In Wardrobes Combination" display="https://simplywardrobes.co.nz/collections/i-robe-walk-in-1/products/6a-and-5-l-shape-walk-in-wardrobe-combination" xr:uid="{F30D70E0-FDEB-4FDD-BBFE-458A02FDA831}"/>
    <hyperlink ref="A54" r:id="rId5" tooltip="5 and 3 and 3B &quot;U&quot; Shape Walk In Wardrobes Combination" display="https://simplywardrobes.co.nz/collections/i-robe-walk-in-1/products/5-and-1-and-5-u-shape-walk-in-wardrobe-combination-1" xr:uid="{5EE70A86-A939-442B-839F-7773C304AA7E}"/>
    <hyperlink ref="A53" r:id="rId6" tooltip="A (Designer's Choice) &quot;L&quot; Shape Walk In Wardrobes Combination" display="https://simplywardrobes.co.nz/collections/i-robe-walk-in-1/products/4-and-3-l-shape-walk-in-wardrobe-combination-copy" xr:uid="{97C9215C-2EFA-4202-9595-86D28B7FB1B8}"/>
    <hyperlink ref="A52" r:id="rId7" tooltip="3B(6 x Drawers) and 5(6 x Drawers) &quot;L&quot; Shape Walk In Wardrobes Combination" display="https://simplywardrobes.co.nz/collections/i-robe-walk-in-1/products/i-robe-walk-in-wardrobe-l-shape-copy-3" xr:uid="{481F4394-48FD-46A6-8A53-00ADD5631CB0}"/>
    <hyperlink ref="A51" r:id="rId8" tooltip="5 and 1 and 5 &quot;U&quot; Shape Walk In Wardrobes Combination" display="https://simplywardrobes.co.nz/collections/i-robe-walk-in-1/products/5-and-1-and-5-u-shape-walk-in-wardrobe-combination" xr:uid="{15D5BBFC-2E7B-44DF-A35B-F0B16C177013}"/>
    <hyperlink ref="A50" r:id="rId9" tooltip="3B and 5 &quot;L&quot; Shape Walk In Wardrobes Combination" display="https://simplywardrobes.co.nz/collections/i-robe-walk-in-1/products/i-robe-walk-in-wardrobe-l-shape-copy-2" xr:uid="{FFA0A3E8-BFB8-4ABE-850B-43F6C2DA4E13}"/>
    <hyperlink ref="A49" r:id="rId10" tooltip="3 and 2 and 3 &quot;U&quot; Shape Walk In Wardrobes Combination" display="https://simplywardrobes.co.nz/collections/i-robe-walk-in-1/products/i-robe-walk-in-wardrobe-u-shape-copy" xr:uid="{7341F110-28CC-419F-952A-281EE2845A20}"/>
    <hyperlink ref="A3" r:id="rId11" xr:uid="{1C97EDE5-D1B9-4070-9771-A63B7B191314}"/>
    <hyperlink ref="A4" r:id="rId12" xr:uid="{D80CDDDA-48EE-4E90-9CB5-36993D2DFDB5}"/>
    <hyperlink ref="A5" r:id="rId13" xr:uid="{8BCACDB6-B28C-4016-9C32-512161C44EA2}"/>
    <hyperlink ref="A6" r:id="rId14" xr:uid="{4F629F69-7491-4916-BEAB-C9174519FD9C}"/>
    <hyperlink ref="A7" r:id="rId15" xr:uid="{F30CA471-5B03-465D-BFA4-0105F0E788D5}"/>
    <hyperlink ref="A8" r:id="rId16" xr:uid="{95183D04-9878-41F4-8BA9-201117591822}"/>
    <hyperlink ref="A9" r:id="rId17" xr:uid="{A1357DD2-33C6-4EB1-88DB-4FD635B1DADA}"/>
    <hyperlink ref="A10" r:id="rId18" xr:uid="{6044DBC7-3E86-4CC4-9846-57F8BE89E07A}"/>
    <hyperlink ref="A11" r:id="rId19" xr:uid="{097AD032-5F27-4A8E-A8E0-779B883F5532}"/>
    <hyperlink ref="A12" r:id="rId20" xr:uid="{5F547EC2-593C-4246-98B5-18B3D18B0A5A}"/>
    <hyperlink ref="A13" r:id="rId21" xr:uid="{D6C4E209-C784-4810-A5F7-F202A3765319}"/>
    <hyperlink ref="A14" r:id="rId22" xr:uid="{DE3EF6CE-2599-499A-B99D-C054E32BEC78}"/>
    <hyperlink ref="A15" r:id="rId23" xr:uid="{6F3D4086-D4DF-461B-8C3F-B681EC1D1682}"/>
    <hyperlink ref="A16" r:id="rId24" xr:uid="{BB1B7BBF-36F8-4617-8223-917327E98877}"/>
    <hyperlink ref="A17" r:id="rId25" xr:uid="{358A8EB5-5983-47AA-AB91-78D40D9BBBFC}"/>
    <hyperlink ref="A18" r:id="rId26" xr:uid="{015E4E06-014E-46BB-B69E-5C179B5824F4}"/>
    <hyperlink ref="A19" r:id="rId27" xr:uid="{67E5F81F-2DF8-411A-A0A8-90B4796ECBE6}"/>
    <hyperlink ref="A20" r:id="rId28" xr:uid="{B6A63871-5568-427E-94FA-841B902E14A5}"/>
    <hyperlink ref="A21" r:id="rId29" xr:uid="{ED099539-9937-46A5-96EB-7D2076277579}"/>
    <hyperlink ref="A22" r:id="rId30" xr:uid="{522C7D3A-11B4-4CF2-BB5B-39D9AFF370D2}"/>
    <hyperlink ref="A23" r:id="rId31" xr:uid="{E246F687-8258-47E4-8D3D-FF17F6C61C5A}"/>
    <hyperlink ref="A24" r:id="rId32" xr:uid="{948E17FE-B3C4-4A03-91C8-835E7ECA1E2D}"/>
    <hyperlink ref="A25" r:id="rId33" xr:uid="{C3309BD8-69AE-4785-8B93-E7D863EB9EB8}"/>
    <hyperlink ref="A26" r:id="rId34" xr:uid="{903B9CAB-4A25-4373-B1D0-0C3D0A042C72}"/>
    <hyperlink ref="A27" r:id="rId35" xr:uid="{DADC0238-4201-4505-9C63-3EB1CC2D3AF1}"/>
    <hyperlink ref="A28" r:id="rId36" xr:uid="{E56C9F85-8C70-479C-BD19-783E0EF38F08}"/>
    <hyperlink ref="A29" r:id="rId37" xr:uid="{7EC6EFD0-51C0-4EB0-8B21-F2600BB13A8A}"/>
    <hyperlink ref="A30" r:id="rId38" xr:uid="{0F7A9368-89D7-4D74-B760-7A7C3500B3B8}"/>
    <hyperlink ref="A31" r:id="rId39" xr:uid="{3A1D78BB-4AE7-4041-9433-A0DFE45A59F8}"/>
    <hyperlink ref="A32" r:id="rId40" xr:uid="{B0BFC262-9847-4B39-92F8-EEF5E0764D7C}"/>
    <hyperlink ref="A33" r:id="rId41" xr:uid="{157AC058-CB08-423D-ACD4-238889B8F76D}"/>
    <hyperlink ref="A34" r:id="rId42" xr:uid="{18908D34-3E05-4A12-B637-AD9AF5BBD7A1}"/>
    <hyperlink ref="A35" r:id="rId43" xr:uid="{3580F67A-0A07-4B46-B6EB-843FCFC7F7BC}"/>
    <hyperlink ref="A36" r:id="rId44" xr:uid="{47058D23-29DD-41C3-A0F9-F67124C4148E}"/>
    <hyperlink ref="A37" r:id="rId45" xr:uid="{0C4A1DBC-365E-4377-8C17-5C9829F1B786}"/>
    <hyperlink ref="A39" r:id="rId46" xr:uid="{B7BF4632-0CAA-46A4-8677-D5A9A2185999}"/>
    <hyperlink ref="A40" r:id="rId47" xr:uid="{21A5373A-A587-4FEE-8681-D850213F8FB2}"/>
    <hyperlink ref="A41" r:id="rId48" xr:uid="{F78D43A5-56BA-4C4A-858C-81CD3D34A53A}"/>
    <hyperlink ref="A42" r:id="rId49" xr:uid="{4665902A-E14C-423C-8E56-66A4361208BD}"/>
    <hyperlink ref="A43" r:id="rId50" xr:uid="{7322AB51-2CFD-4A1E-9C5A-BE93017BCF4E}"/>
    <hyperlink ref="A44" r:id="rId51" xr:uid="{7D040B61-4DF8-41F8-827A-23582A88177B}"/>
  </hyperlinks>
  <pageMargins left="0.7" right="0.7" top="0.75" bottom="0.75" header="0.3" footer="0.3"/>
  <pageSetup paperSize="9" orientation="portrait" r:id="rId5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B0F0"/>
    <pageSetUpPr fitToPage="1"/>
  </sheetPr>
  <dimension ref="A1:Y46"/>
  <sheetViews>
    <sheetView topLeftCell="A3" zoomScale="110" zoomScaleNormal="110" workbookViewId="0">
      <selection activeCell="V22" sqref="V22"/>
    </sheetView>
  </sheetViews>
  <sheetFormatPr defaultColWidth="9.1796875" defaultRowHeight="13" x14ac:dyDescent="0.3"/>
  <cols>
    <col min="1" max="1" width="17.81640625" style="1" customWidth="1"/>
    <col min="2" max="4" width="12.81640625" style="1" customWidth="1"/>
    <col min="5" max="5" width="10.453125" style="1" customWidth="1"/>
    <col min="6" max="6" width="5.1796875" style="1" customWidth="1"/>
    <col min="7" max="7" width="7.81640625" style="1" customWidth="1"/>
    <col min="8" max="8" width="3.81640625" style="1" customWidth="1"/>
    <col min="9" max="9" width="6.54296875" style="1" customWidth="1"/>
    <col min="10" max="10" width="6.453125" style="1" customWidth="1"/>
    <col min="11" max="11" width="6.81640625" style="1" customWidth="1"/>
    <col min="12" max="12" width="5.81640625" style="1" customWidth="1"/>
    <col min="13" max="13" width="9.1796875" style="1" customWidth="1"/>
    <col min="14" max="14" width="23.81640625" style="1" customWidth="1"/>
    <col min="15" max="15" width="13.81640625" style="1" customWidth="1"/>
    <col min="16" max="16384" width="9.1796875" style="1"/>
  </cols>
  <sheetData>
    <row r="1" spans="1:15" ht="24" customHeight="1" x14ac:dyDescent="0.3">
      <c r="A1" s="904" t="s">
        <v>536</v>
      </c>
      <c r="B1" s="904"/>
      <c r="C1" s="904"/>
      <c r="D1" s="904"/>
      <c r="E1" s="904"/>
      <c r="F1" s="904"/>
      <c r="G1" s="904"/>
      <c r="H1" s="904"/>
      <c r="I1" s="893" t="e" vm="1">
        <f ca="1">_xlfn.IMAGE("https://api.qrserver.com/v1/create-qr-code/?size=150x150&amp;data=" &amp; _xlfn.ENCODEURL('Job Details Install'!J10), "QR", 1)</f>
        <v>#VALUE!</v>
      </c>
      <c r="J1" s="893"/>
      <c r="K1" s="893"/>
    </row>
    <row r="2" spans="1:15" ht="33" customHeight="1" x14ac:dyDescent="0.3">
      <c r="A2" s="560" t="s">
        <v>36</v>
      </c>
      <c r="B2" s="19"/>
      <c r="C2" s="621"/>
      <c r="D2" s="900" t="str">
        <f>'Job Details Install'!F1</f>
        <v>INSTALL</v>
      </c>
      <c r="E2" s="900"/>
      <c r="F2" s="900"/>
      <c r="I2" s="893"/>
      <c r="J2" s="893"/>
      <c r="K2" s="893"/>
    </row>
    <row r="3" spans="1:15" ht="26.25" customHeight="1" x14ac:dyDescent="0.35">
      <c r="A3" s="560" t="s">
        <v>577</v>
      </c>
      <c r="B3" s="902">
        <f>'Job Details Install'!B15</f>
        <v>0</v>
      </c>
      <c r="C3" s="903"/>
      <c r="D3" s="903"/>
      <c r="E3" s="903"/>
      <c r="F3" s="903"/>
      <c r="G3"/>
      <c r="H3"/>
      <c r="I3" s="893"/>
      <c r="J3" s="893"/>
      <c r="K3" s="893"/>
    </row>
    <row r="4" spans="1:15" ht="24" customHeight="1" x14ac:dyDescent="0.3">
      <c r="A4" s="560" t="s">
        <v>38</v>
      </c>
      <c r="B4" s="902">
        <f>'Job Details Install'!B9</f>
        <v>0</v>
      </c>
      <c r="C4" s="903"/>
      <c r="D4" s="903"/>
      <c r="E4" s="903"/>
      <c r="F4" s="903"/>
      <c r="G4" s="905" t="s">
        <v>39</v>
      </c>
      <c r="H4" s="905"/>
      <c r="I4" s="901">
        <f>'Job Details Install'!F5</f>
        <v>0</v>
      </c>
      <c r="J4" s="901"/>
      <c r="K4" s="901"/>
    </row>
    <row r="5" spans="1:15" ht="24.75" customHeight="1" x14ac:dyDescent="0.35">
      <c r="A5" s="560" t="s">
        <v>40</v>
      </c>
      <c r="B5" s="622">
        <f>'Job Details Install'!C6</f>
        <v>0</v>
      </c>
      <c r="C5"/>
      <c r="D5"/>
      <c r="E5" s="617"/>
      <c r="F5" s="617"/>
      <c r="G5"/>
      <c r="H5"/>
      <c r="I5"/>
      <c r="J5"/>
      <c r="K5"/>
    </row>
    <row r="6" spans="1:15" ht="12" customHeight="1" x14ac:dyDescent="0.3">
      <c r="C6" s="10"/>
      <c r="D6" s="342" t="s">
        <v>2</v>
      </c>
      <c r="E6" s="8"/>
      <c r="G6" s="23"/>
      <c r="H6" s="899" t="s">
        <v>41</v>
      </c>
      <c r="I6" s="899"/>
      <c r="J6" s="899"/>
      <c r="K6" s="16"/>
    </row>
    <row r="7" spans="1:15" ht="28.5" customHeight="1" thickBot="1" x14ac:dyDescent="0.35">
      <c r="B7" s="498"/>
      <c r="C7" s="498"/>
      <c r="D7" s="737"/>
      <c r="E7" s="8"/>
      <c r="G7" s="23"/>
      <c r="H7" s="313"/>
      <c r="I7" s="314"/>
      <c r="J7" s="315"/>
      <c r="K7" s="99"/>
    </row>
    <row r="8" spans="1:15" ht="29.25" customHeight="1" x14ac:dyDescent="0.35">
      <c r="A8" s="501" t="s">
        <v>42</v>
      </c>
      <c r="B8" s="502" t="s">
        <v>523</v>
      </c>
      <c r="C8" s="502" t="s">
        <v>524</v>
      </c>
      <c r="D8" s="625" t="s">
        <v>439</v>
      </c>
      <c r="E8" s="503" t="s">
        <v>43</v>
      </c>
      <c r="G8" s="23"/>
      <c r="H8" s="812" t="s">
        <v>44</v>
      </c>
      <c r="I8" s="813"/>
      <c r="J8" s="814"/>
      <c r="K8" s="24"/>
      <c r="L8" s="413" t="s">
        <v>43</v>
      </c>
      <c r="N8" s="412" t="s">
        <v>45</v>
      </c>
      <c r="O8" s="34" t="s">
        <v>46</v>
      </c>
    </row>
    <row r="9" spans="1:15" ht="20.149999999999999" customHeight="1" x14ac:dyDescent="0.35">
      <c r="A9" s="755" t="s">
        <v>47</v>
      </c>
      <c r="B9" s="482">
        <f>'I Robe Set Combos'!I57</f>
        <v>0</v>
      </c>
      <c r="C9" s="630">
        <f>'iRobe WIR'!G9</f>
        <v>0</v>
      </c>
      <c r="D9" s="483">
        <f t="shared" ref="D9:D11" si="0">B9+C9</f>
        <v>0</v>
      </c>
      <c r="E9" s="420" t="b">
        <v>0</v>
      </c>
      <c r="F9" s="196"/>
      <c r="G9" s="408"/>
      <c r="H9" s="811" t="s">
        <v>48</v>
      </c>
      <c r="I9" s="811"/>
      <c r="J9" s="811"/>
      <c r="K9" s="736">
        <f>(D11+D12+D13+D15)*2</f>
        <v>0</v>
      </c>
      <c r="L9" s="411" t="b">
        <v>0</v>
      </c>
      <c r="N9" s="428">
        <v>117.52</v>
      </c>
      <c r="O9" s="429">
        <f>(D9)*N9</f>
        <v>0</v>
      </c>
    </row>
    <row r="10" spans="1:15" ht="20.149999999999999" customHeight="1" x14ac:dyDescent="0.35">
      <c r="A10" s="755" t="s">
        <v>49</v>
      </c>
      <c r="B10" s="482">
        <f>'I Robe Set Combos'!J57</f>
        <v>0</v>
      </c>
      <c r="C10" s="630">
        <f>'iRobe WIR'!G10</f>
        <v>0</v>
      </c>
      <c r="D10" s="483">
        <f t="shared" si="0"/>
        <v>0</v>
      </c>
      <c r="E10" s="420" t="b">
        <v>0</v>
      </c>
      <c r="F10" s="196"/>
      <c r="G10" s="196"/>
      <c r="H10" s="811" t="s">
        <v>138</v>
      </c>
      <c r="I10" s="811"/>
      <c r="J10" s="811"/>
      <c r="K10" s="736">
        <f>SUM(SUM(D18:D21)*4)</f>
        <v>0</v>
      </c>
      <c r="L10" s="411" t="b">
        <v>0</v>
      </c>
      <c r="N10" s="428">
        <v>66.959999999999994</v>
      </c>
      <c r="O10" s="429">
        <f t="shared" ref="O10:O11" si="1">(D10)*N10</f>
        <v>0</v>
      </c>
    </row>
    <row r="11" spans="1:15" ht="20.149999999999999" customHeight="1" x14ac:dyDescent="0.35">
      <c r="A11" s="755" t="s">
        <v>556</v>
      </c>
      <c r="B11" s="482"/>
      <c r="C11" s="630">
        <f>'iRobe WIR'!G11</f>
        <v>0</v>
      </c>
      <c r="D11" s="483">
        <f t="shared" si="0"/>
        <v>0</v>
      </c>
      <c r="E11" s="420" t="b">
        <v>0</v>
      </c>
      <c r="F11" s="196"/>
      <c r="G11" s="196"/>
      <c r="H11" s="811" t="s">
        <v>52</v>
      </c>
      <c r="I11" s="811"/>
      <c r="J11" s="811"/>
      <c r="K11" s="736">
        <f>SUM(SUM(D18:D21)*4)</f>
        <v>0</v>
      </c>
      <c r="L11" s="411" t="b">
        <v>0</v>
      </c>
      <c r="N11" s="428">
        <v>103.17</v>
      </c>
      <c r="O11" s="429">
        <f t="shared" si="1"/>
        <v>0</v>
      </c>
    </row>
    <row r="12" spans="1:15" ht="20.149999999999999" customHeight="1" x14ac:dyDescent="0.35">
      <c r="A12" s="755" t="s">
        <v>555</v>
      </c>
      <c r="B12" s="482">
        <f>'I Robe Set Combos'!K57</f>
        <v>0</v>
      </c>
      <c r="C12" s="630">
        <f>'iRobe WIR'!G12</f>
        <v>0</v>
      </c>
      <c r="D12" s="483">
        <f>B12+C12</f>
        <v>0</v>
      </c>
      <c r="E12" s="420" t="b">
        <v>0</v>
      </c>
      <c r="F12" s="196"/>
      <c r="G12" s="196"/>
      <c r="H12" s="811" t="s">
        <v>54</v>
      </c>
      <c r="I12" s="811"/>
      <c r="J12" s="811"/>
      <c r="K12" s="736">
        <f>SUM(SUM(D18:D21)*4)</f>
        <v>0</v>
      </c>
      <c r="L12" s="411" t="b">
        <v>0</v>
      </c>
      <c r="N12" s="428">
        <v>103.17</v>
      </c>
      <c r="O12" s="429">
        <f t="shared" ref="O12:O27" si="2">(D12)*N12</f>
        <v>0</v>
      </c>
    </row>
    <row r="13" spans="1:15" ht="20.149999999999999" customHeight="1" x14ac:dyDescent="0.35">
      <c r="A13" s="755" t="s">
        <v>557</v>
      </c>
      <c r="B13" s="482"/>
      <c r="C13" s="630">
        <f>'iRobe WIR'!G13</f>
        <v>0</v>
      </c>
      <c r="D13" s="483">
        <f t="shared" ref="D13:D18" si="3">B13+C13</f>
        <v>0</v>
      </c>
      <c r="E13" s="420" t="b">
        <v>0</v>
      </c>
      <c r="F13" s="894" t="s">
        <v>56</v>
      </c>
      <c r="G13" s="895"/>
      <c r="H13" s="811" t="s">
        <v>57</v>
      </c>
      <c r="I13" s="811"/>
      <c r="J13" s="811"/>
      <c r="K13" s="736">
        <f>SUM(SUM(D18:D21)*4)</f>
        <v>0</v>
      </c>
      <c r="L13" s="411" t="b">
        <v>0</v>
      </c>
      <c r="N13" s="428">
        <v>103.17</v>
      </c>
      <c r="O13" s="429">
        <f t="shared" si="2"/>
        <v>0</v>
      </c>
    </row>
    <row r="14" spans="1:15" ht="20.149999999999999" customHeight="1" x14ac:dyDescent="0.35">
      <c r="A14" s="755" t="s">
        <v>635</v>
      </c>
      <c r="B14" s="482"/>
      <c r="C14" s="630">
        <f>'iRobe WIR'!G14</f>
        <v>0</v>
      </c>
      <c r="D14" s="483">
        <f t="shared" si="3"/>
        <v>0</v>
      </c>
      <c r="E14" s="420" t="b">
        <v>0</v>
      </c>
      <c r="F14" s="754"/>
      <c r="G14" s="754"/>
      <c r="H14" s="811" t="s">
        <v>59</v>
      </c>
      <c r="I14" s="811"/>
      <c r="J14" s="811"/>
      <c r="K14" s="736">
        <f>SUM(SUM(D22:D24)*4+(SUM(K17*2)))</f>
        <v>0</v>
      </c>
      <c r="L14" s="411" t="b">
        <v>0</v>
      </c>
      <c r="N14" s="428">
        <v>71.040000000000006</v>
      </c>
      <c r="O14" s="429">
        <f t="shared" si="2"/>
        <v>0</v>
      </c>
    </row>
    <row r="15" spans="1:15" ht="20.149999999999999" customHeight="1" x14ac:dyDescent="0.35">
      <c r="A15" s="755" t="s">
        <v>53</v>
      </c>
      <c r="B15" s="482">
        <f>'I Robe Set Combos'!L57</f>
        <v>0</v>
      </c>
      <c r="C15" s="630">
        <f>'iRobe WIR'!G15</f>
        <v>0</v>
      </c>
      <c r="D15" s="483">
        <f t="shared" si="3"/>
        <v>0</v>
      </c>
      <c r="E15" s="420" t="b">
        <v>0</v>
      </c>
      <c r="F15" s="196"/>
      <c r="G15" s="196"/>
      <c r="H15" s="808" t="s">
        <v>634</v>
      </c>
      <c r="I15" s="809"/>
      <c r="J15" s="810"/>
      <c r="K15" s="736">
        <f>SUM(D26)*12+SUM(D25)*4</f>
        <v>0</v>
      </c>
      <c r="L15" s="411" t="b">
        <v>0</v>
      </c>
      <c r="N15" s="428">
        <v>71.040000000000006</v>
      </c>
      <c r="O15" s="429">
        <f t="shared" si="2"/>
        <v>0</v>
      </c>
    </row>
    <row r="16" spans="1:15" ht="20.149999999999999" customHeight="1" x14ac:dyDescent="0.35">
      <c r="A16" s="755" t="s">
        <v>636</v>
      </c>
      <c r="B16" s="482"/>
      <c r="C16" s="630">
        <f>'iRobe WIR'!G16</f>
        <v>0</v>
      </c>
      <c r="D16" s="483">
        <f t="shared" si="3"/>
        <v>0</v>
      </c>
      <c r="E16" s="420" t="b">
        <v>0</v>
      </c>
      <c r="H16" s="808" t="s">
        <v>633</v>
      </c>
      <c r="I16" s="809"/>
      <c r="J16" s="810"/>
      <c r="K16" s="736">
        <f>(D10*12)+((D11+D12+D13+D14+D15+D16+D17+D27)*2)+((D25+D26)*2)+K17</f>
        <v>0</v>
      </c>
      <c r="L16" s="411" t="b">
        <v>0</v>
      </c>
      <c r="N16" s="428">
        <v>71.040000000000006</v>
      </c>
      <c r="O16" s="429">
        <f t="shared" si="2"/>
        <v>0</v>
      </c>
    </row>
    <row r="17" spans="1:15" ht="20.149999999999999" customHeight="1" x14ac:dyDescent="0.35">
      <c r="A17" s="755" t="s">
        <v>637</v>
      </c>
      <c r="B17" s="482"/>
      <c r="C17" s="630">
        <f>'iRobe WIR'!G17</f>
        <v>0</v>
      </c>
      <c r="D17" s="483">
        <f t="shared" si="3"/>
        <v>0</v>
      </c>
      <c r="E17" s="420" t="b">
        <v>0</v>
      </c>
      <c r="F17" s="738">
        <f>D22*2</f>
        <v>0</v>
      </c>
      <c r="G17" s="407" t="s">
        <v>63</v>
      </c>
      <c r="H17" s="808" t="s">
        <v>64</v>
      </c>
      <c r="I17" s="809"/>
      <c r="J17" s="810"/>
      <c r="K17" s="736">
        <f>D11+D12+D13+D14+D15+D16</f>
        <v>0</v>
      </c>
      <c r="L17" s="411" t="b">
        <v>0</v>
      </c>
      <c r="N17" s="428">
        <v>35</v>
      </c>
      <c r="O17" s="429">
        <f t="shared" si="2"/>
        <v>0</v>
      </c>
    </row>
    <row r="18" spans="1:15" ht="20.149999999999999" customHeight="1" x14ac:dyDescent="0.35">
      <c r="A18" s="755" t="s">
        <v>55</v>
      </c>
      <c r="B18" s="482">
        <f>'I Robe Set Combos'!M57</f>
        <v>0</v>
      </c>
      <c r="C18" s="630">
        <f>'iRobe WIR'!G18</f>
        <v>0</v>
      </c>
      <c r="D18" s="483">
        <f t="shared" si="3"/>
        <v>0</v>
      </c>
      <c r="E18" s="420" t="b">
        <v>0</v>
      </c>
      <c r="F18" s="738">
        <f>D23*2</f>
        <v>0</v>
      </c>
      <c r="G18" s="407" t="s">
        <v>63</v>
      </c>
      <c r="H18" s="808" t="s">
        <v>624</v>
      </c>
      <c r="I18" s="809"/>
      <c r="J18" s="810"/>
      <c r="K18" s="736">
        <f>SUM(D10*8)</f>
        <v>0</v>
      </c>
      <c r="L18" s="411" t="b">
        <v>0</v>
      </c>
      <c r="N18" s="428">
        <v>71.040000000000006</v>
      </c>
      <c r="O18" s="429">
        <f t="shared" si="2"/>
        <v>0</v>
      </c>
    </row>
    <row r="19" spans="1:15" ht="20.149999999999999" customHeight="1" x14ac:dyDescent="0.35">
      <c r="A19" s="755" t="s">
        <v>553</v>
      </c>
      <c r="B19" s="482"/>
      <c r="C19" s="630">
        <f>'iRobe WIR'!G19</f>
        <v>0</v>
      </c>
      <c r="D19" s="483">
        <f t="shared" ref="D19:D25" si="4">B19+C19</f>
        <v>0</v>
      </c>
      <c r="E19" s="420" t="b">
        <v>0</v>
      </c>
      <c r="F19" s="738">
        <f>D24*2</f>
        <v>0</v>
      </c>
      <c r="G19" s="407" t="s">
        <v>63</v>
      </c>
      <c r="H19" s="808" t="s">
        <v>68</v>
      </c>
      <c r="I19" s="809"/>
      <c r="J19" s="810"/>
      <c r="K19" s="736">
        <f>SUM(D11*8)</f>
        <v>0</v>
      </c>
      <c r="L19" s="411" t="b">
        <v>0</v>
      </c>
      <c r="N19" s="428">
        <v>42.49</v>
      </c>
      <c r="O19" s="429">
        <f t="shared" si="2"/>
        <v>0</v>
      </c>
    </row>
    <row r="20" spans="1:15" ht="20.149999999999999" customHeight="1" x14ac:dyDescent="0.35">
      <c r="A20" s="755" t="s">
        <v>58</v>
      </c>
      <c r="B20" s="482">
        <f>'I Robe Set Combos'!N57</f>
        <v>0</v>
      </c>
      <c r="C20" s="630">
        <f>'iRobe WIR'!G20</f>
        <v>0</v>
      </c>
      <c r="D20" s="483">
        <f t="shared" si="4"/>
        <v>0</v>
      </c>
      <c r="E20" s="420" t="b">
        <v>0</v>
      </c>
      <c r="F20" s="410"/>
      <c r="G20" s="196"/>
      <c r="H20" s="808" t="s">
        <v>70</v>
      </c>
      <c r="I20" s="809"/>
      <c r="J20" s="810"/>
      <c r="K20" s="736">
        <f>SUM(D10*8)</f>
        <v>0</v>
      </c>
      <c r="L20" s="411" t="b">
        <v>0</v>
      </c>
      <c r="N20" s="428">
        <v>32.49</v>
      </c>
      <c r="O20" s="429">
        <f t="shared" si="2"/>
        <v>0</v>
      </c>
    </row>
    <row r="21" spans="1:15" ht="20.149999999999999" customHeight="1" x14ac:dyDescent="0.35">
      <c r="A21" s="755" t="s">
        <v>60</v>
      </c>
      <c r="B21" s="482">
        <f>'I Robe Set Combos'!O57</f>
        <v>0</v>
      </c>
      <c r="C21" s="630">
        <f>'iRobe WIR'!G21</f>
        <v>0</v>
      </c>
      <c r="D21" s="483">
        <f t="shared" si="4"/>
        <v>0</v>
      </c>
      <c r="E21" s="420" t="b">
        <v>0</v>
      </c>
      <c r="F21" s="196"/>
      <c r="G21" s="196"/>
      <c r="H21" s="808" t="s">
        <v>72</v>
      </c>
      <c r="I21" s="809"/>
      <c r="J21" s="810"/>
      <c r="K21" s="736">
        <f>SUM(F17:F19)</f>
        <v>0</v>
      </c>
      <c r="L21" s="411" t="b">
        <v>0</v>
      </c>
      <c r="N21" s="428">
        <v>25</v>
      </c>
      <c r="O21" s="429">
        <f t="shared" si="2"/>
        <v>0</v>
      </c>
    </row>
    <row r="22" spans="1:15" ht="20.149999999999999" customHeight="1" thickBot="1" x14ac:dyDescent="0.4">
      <c r="A22" s="755" t="s">
        <v>62</v>
      </c>
      <c r="B22" s="482">
        <f>'I Robe Set Combos'!P57</f>
        <v>0</v>
      </c>
      <c r="C22" s="630">
        <f>'iRobe WIR'!G22</f>
        <v>0</v>
      </c>
      <c r="D22" s="483">
        <f t="shared" si="4"/>
        <v>0</v>
      </c>
      <c r="E22" s="420" t="b">
        <v>0</v>
      </c>
      <c r="G22" s="196"/>
      <c r="H22" s="808" t="s">
        <v>74</v>
      </c>
      <c r="I22" s="809"/>
      <c r="J22" s="810"/>
      <c r="K22" s="736">
        <v>1</v>
      </c>
      <c r="L22" s="411" t="b">
        <v>0</v>
      </c>
      <c r="N22" s="428">
        <v>22</v>
      </c>
      <c r="O22" s="429">
        <f t="shared" si="2"/>
        <v>0</v>
      </c>
    </row>
    <row r="23" spans="1:15" ht="20.149999999999999" customHeight="1" x14ac:dyDescent="0.35">
      <c r="A23" s="755" t="s">
        <v>65</v>
      </c>
      <c r="B23" s="482">
        <f>'I Robe Set Combos'!Q57</f>
        <v>0</v>
      </c>
      <c r="C23" s="630">
        <f>'iRobe WIR'!G23</f>
        <v>0</v>
      </c>
      <c r="D23" s="483">
        <f t="shared" si="4"/>
        <v>0</v>
      </c>
      <c r="E23" s="420" t="b">
        <v>0</v>
      </c>
      <c r="F23" s="2"/>
      <c r="G23" s="415" t="s">
        <v>437</v>
      </c>
      <c r="H23" s="808" t="s">
        <v>278</v>
      </c>
      <c r="I23" s="809"/>
      <c r="J23" s="810"/>
      <c r="K23" s="752">
        <f>Accessories!E21</f>
        <v>0</v>
      </c>
      <c r="L23" s="753" t="b">
        <v>0</v>
      </c>
      <c r="N23" s="428">
        <v>22</v>
      </c>
      <c r="O23" s="429">
        <f t="shared" si="2"/>
        <v>0</v>
      </c>
    </row>
    <row r="24" spans="1:15" ht="20.149999999999999" customHeight="1" x14ac:dyDescent="0.35">
      <c r="A24" s="755" t="s">
        <v>67</v>
      </c>
      <c r="B24" s="482">
        <f>'I Robe Set Combos'!R57</f>
        <v>0</v>
      </c>
      <c r="C24" s="630">
        <f>'iRobe WIR'!G24</f>
        <v>0</v>
      </c>
      <c r="D24" s="483">
        <f t="shared" si="4"/>
        <v>0</v>
      </c>
      <c r="E24" s="420" t="b">
        <v>0</v>
      </c>
      <c r="F24" s="2"/>
      <c r="G24" s="416" t="s">
        <v>437</v>
      </c>
      <c r="H24" s="808" t="s">
        <v>281</v>
      </c>
      <c r="I24" s="809"/>
      <c r="J24" s="810"/>
      <c r="K24" s="446">
        <f>Accessories!E22</f>
        <v>0</v>
      </c>
      <c r="L24" s="417" t="b">
        <v>0</v>
      </c>
      <c r="N24" s="428">
        <v>22</v>
      </c>
      <c r="O24" s="429">
        <f t="shared" si="2"/>
        <v>0</v>
      </c>
    </row>
    <row r="25" spans="1:15" ht="20.149999999999999" customHeight="1" x14ac:dyDescent="0.35">
      <c r="A25" s="755" t="s">
        <v>69</v>
      </c>
      <c r="B25" s="482">
        <f>'I Robe Set Combos'!S57</f>
        <v>0</v>
      </c>
      <c r="C25" s="630">
        <f>'iRobe WIR'!G25</f>
        <v>0</v>
      </c>
      <c r="D25" s="483">
        <f t="shared" si="4"/>
        <v>0</v>
      </c>
      <c r="E25" s="420" t="b">
        <v>0</v>
      </c>
      <c r="F25" s="2"/>
      <c r="G25" s="416" t="s">
        <v>530</v>
      </c>
      <c r="H25" s="896" t="s">
        <v>267</v>
      </c>
      <c r="I25" s="897"/>
      <c r="J25" s="898"/>
      <c r="K25" s="446">
        <f>Accessories!E14</f>
        <v>0</v>
      </c>
      <c r="L25" s="417" t="b">
        <v>0</v>
      </c>
      <c r="N25" s="428">
        <v>325</v>
      </c>
      <c r="O25" s="429">
        <f t="shared" si="2"/>
        <v>0</v>
      </c>
    </row>
    <row r="26" spans="1:15" ht="20.149999999999999" customHeight="1" x14ac:dyDescent="0.35">
      <c r="A26" s="755" t="s">
        <v>71</v>
      </c>
      <c r="B26" s="482">
        <f>'I Robe Set Combos'!T57</f>
        <v>0</v>
      </c>
      <c r="C26" s="630">
        <f>'iRobe WIR'!G26</f>
        <v>0</v>
      </c>
      <c r="D26" s="483">
        <f t="shared" ref="D26:D31" si="5">B26+C26</f>
        <v>0</v>
      </c>
      <c r="E26" s="420" t="b">
        <v>0</v>
      </c>
      <c r="F26" s="2"/>
      <c r="G26" s="416" t="s">
        <v>530</v>
      </c>
      <c r="H26" s="808" t="s">
        <v>531</v>
      </c>
      <c r="I26" s="809"/>
      <c r="J26" s="810"/>
      <c r="K26" s="446">
        <f>Accessories!E15</f>
        <v>0</v>
      </c>
      <c r="L26" s="417" t="b">
        <v>0</v>
      </c>
      <c r="N26" s="428">
        <v>325</v>
      </c>
      <c r="O26" s="429">
        <f t="shared" si="2"/>
        <v>0</v>
      </c>
    </row>
    <row r="27" spans="1:15" ht="20.149999999999999" customHeight="1" thickBot="1" x14ac:dyDescent="0.4">
      <c r="A27" s="755" t="s">
        <v>73</v>
      </c>
      <c r="B27" s="630">
        <f>'I Robe Set Combos'!U57</f>
        <v>0</v>
      </c>
      <c r="C27" s="630">
        <f>'iRobe WIR'!G27</f>
        <v>0</v>
      </c>
      <c r="D27" s="483">
        <f t="shared" si="5"/>
        <v>0</v>
      </c>
      <c r="E27" s="420" t="b">
        <v>0</v>
      </c>
      <c r="G27" s="418" t="s">
        <v>530</v>
      </c>
      <c r="H27" s="906" t="s">
        <v>532</v>
      </c>
      <c r="I27" s="907"/>
      <c r="J27" s="908"/>
      <c r="K27" s="447">
        <f>Accessories!E16</f>
        <v>0</v>
      </c>
      <c r="L27" s="419" t="b">
        <v>0</v>
      </c>
      <c r="N27" s="430">
        <v>19.9985</v>
      </c>
      <c r="O27" s="429">
        <f t="shared" si="2"/>
        <v>0</v>
      </c>
    </row>
    <row r="28" spans="1:15" ht="20.149999999999999" customHeight="1" x14ac:dyDescent="0.35">
      <c r="A28" s="755" t="s">
        <v>172</v>
      </c>
      <c r="B28" s="482"/>
      <c r="C28" s="630">
        <f>'iRobe WIR'!G28</f>
        <v>0</v>
      </c>
      <c r="D28" s="483">
        <f t="shared" si="5"/>
        <v>0</v>
      </c>
      <c r="E28" s="420" t="b">
        <v>0</v>
      </c>
      <c r="N28" s="430">
        <v>127</v>
      </c>
      <c r="O28" s="429">
        <f>(D28)*N28</f>
        <v>0</v>
      </c>
    </row>
    <row r="29" spans="1:15" ht="20.149999999999999" customHeight="1" x14ac:dyDescent="0.35">
      <c r="A29" s="755" t="s">
        <v>75</v>
      </c>
      <c r="B29" s="630"/>
      <c r="C29" s="630">
        <f>'iRobe WIR'!G29</f>
        <v>0</v>
      </c>
      <c r="D29" s="483">
        <f t="shared" si="5"/>
        <v>0</v>
      </c>
      <c r="E29" s="420" t="b">
        <v>0</v>
      </c>
      <c r="N29" s="430">
        <v>20</v>
      </c>
      <c r="O29" s="429">
        <f>(D29)*N29</f>
        <v>0</v>
      </c>
    </row>
    <row r="30" spans="1:15" ht="20.149999999999999" customHeight="1" x14ac:dyDescent="0.35">
      <c r="A30" s="756" t="s">
        <v>76</v>
      </c>
      <c r="B30" s="630"/>
      <c r="C30" s="630">
        <f>'iRobe WIR'!G30</f>
        <v>0</v>
      </c>
      <c r="D30" s="483">
        <f t="shared" si="5"/>
        <v>0</v>
      </c>
      <c r="E30" s="420" t="b">
        <v>0</v>
      </c>
      <c r="N30" s="431">
        <v>19.9985</v>
      </c>
      <c r="O30" s="429">
        <f>(D30)*N30</f>
        <v>0</v>
      </c>
    </row>
    <row r="31" spans="1:15" ht="20.149999999999999" customHeight="1" thickBot="1" x14ac:dyDescent="0.4">
      <c r="A31" s="757" t="s">
        <v>77</v>
      </c>
      <c r="B31" s="631"/>
      <c r="C31" s="750">
        <f>'iRobe WIR'!G31</f>
        <v>0</v>
      </c>
      <c r="D31" s="751">
        <f t="shared" si="5"/>
        <v>0</v>
      </c>
      <c r="E31" s="419" t="b">
        <v>0</v>
      </c>
      <c r="G31" s="17"/>
      <c r="H31" s="17"/>
      <c r="I31" s="17"/>
      <c r="J31" s="8"/>
      <c r="K31" s="8"/>
      <c r="N31" s="431">
        <v>50.001999999999995</v>
      </c>
      <c r="O31" s="429">
        <f>(D31)*N31</f>
        <v>0</v>
      </c>
    </row>
    <row r="32" spans="1:15" ht="20.149999999999999" customHeight="1" thickBot="1" x14ac:dyDescent="0.4">
      <c r="A32" s="499" t="s">
        <v>525</v>
      </c>
      <c r="B32" s="500" t="b">
        <v>0</v>
      </c>
      <c r="G32" s="2"/>
      <c r="H32" s="2"/>
      <c r="N32" s="425" t="s">
        <v>448</v>
      </c>
      <c r="O32" s="429">
        <f>SUM(O9:O31)</f>
        <v>0</v>
      </c>
    </row>
    <row r="33" spans="1:25" ht="20.149999999999999" customHeight="1" thickBot="1" x14ac:dyDescent="0.4">
      <c r="A33" s="890" t="s">
        <v>526</v>
      </c>
      <c r="B33" s="891"/>
      <c r="C33" s="891"/>
      <c r="D33" s="891"/>
      <c r="E33" s="891"/>
      <c r="F33" s="892"/>
      <c r="G33" s="2"/>
      <c r="H33" s="2"/>
      <c r="N33" s="152"/>
      <c r="O33" s="152"/>
    </row>
    <row r="34" spans="1:25" ht="20.149999999999999" customHeight="1" thickBot="1" x14ac:dyDescent="0.35">
      <c r="A34" s="422" t="s">
        <v>454</v>
      </c>
      <c r="B34" s="423" t="s">
        <v>527</v>
      </c>
      <c r="C34" s="423" t="s">
        <v>528</v>
      </c>
      <c r="D34" s="424" t="s">
        <v>529</v>
      </c>
      <c r="E34" s="422" t="s">
        <v>535</v>
      </c>
      <c r="F34" s="424" t="s">
        <v>529</v>
      </c>
      <c r="G34" s="2"/>
      <c r="H34" s="2"/>
      <c r="I34" s="2"/>
      <c r="N34" s="475" t="s">
        <v>549</v>
      </c>
      <c r="O34" s="474">
        <f>O38-O32</f>
        <v>0</v>
      </c>
    </row>
    <row r="35" spans="1:25" ht="20.149999999999999" customHeight="1" x14ac:dyDescent="0.35">
      <c r="A35" s="716"/>
      <c r="B35" s="602"/>
      <c r="C35" s="603"/>
      <c r="D35" s="421" t="b">
        <v>0</v>
      </c>
      <c r="E35" s="693"/>
      <c r="F35" s="421" t="b">
        <v>0</v>
      </c>
      <c r="G35" s="7"/>
      <c r="H35" s="2"/>
      <c r="I35" s="2"/>
      <c r="N35" s="152"/>
      <c r="O35" s="152"/>
    </row>
    <row r="36" spans="1:25" ht="20.149999999999999" customHeight="1" x14ac:dyDescent="0.35">
      <c r="A36" s="606"/>
      <c r="B36" s="715"/>
      <c r="C36" s="604"/>
      <c r="D36" s="420" t="b">
        <v>0</v>
      </c>
      <c r="E36" s="693"/>
      <c r="F36" s="420" t="b">
        <v>0</v>
      </c>
      <c r="G36" s="2"/>
      <c r="H36" s="2"/>
      <c r="I36" s="2"/>
      <c r="N36" s="426" t="s">
        <v>447</v>
      </c>
      <c r="O36" s="432">
        <f>'I Robe Set Combos'!G57</f>
        <v>0</v>
      </c>
    </row>
    <row r="37" spans="1:25" ht="20.149999999999999" customHeight="1" x14ac:dyDescent="0.35">
      <c r="A37" s="606"/>
      <c r="B37" s="604"/>
      <c r="C37" s="604"/>
      <c r="D37" s="420" t="b">
        <v>0</v>
      </c>
      <c r="E37" s="693"/>
      <c r="F37" s="420" t="b">
        <v>0</v>
      </c>
      <c r="G37" s="2"/>
      <c r="H37" s="2"/>
      <c r="I37" s="2"/>
      <c r="N37" s="426" t="s">
        <v>443</v>
      </c>
      <c r="O37" s="432">
        <f>'iRobe WIR'!R33</f>
        <v>0</v>
      </c>
      <c r="Y37" s="12"/>
    </row>
    <row r="38" spans="1:25" ht="20.149999999999999" customHeight="1" x14ac:dyDescent="0.35">
      <c r="A38" s="606"/>
      <c r="B38" s="604"/>
      <c r="C38" s="604"/>
      <c r="D38" s="420" t="b">
        <v>0</v>
      </c>
      <c r="E38" s="693"/>
      <c r="F38" s="420" t="b">
        <v>0</v>
      </c>
      <c r="G38" s="2"/>
      <c r="H38" s="2"/>
      <c r="I38" s="2"/>
      <c r="N38" s="427" t="s">
        <v>444</v>
      </c>
      <c r="O38" s="433">
        <f>O37+O36</f>
        <v>0</v>
      </c>
    </row>
    <row r="39" spans="1:25" ht="20.149999999999999" customHeight="1" x14ac:dyDescent="0.3">
      <c r="A39" s="606"/>
      <c r="B39" s="604"/>
      <c r="C39" s="604"/>
      <c r="D39" s="420" t="b">
        <v>0</v>
      </c>
      <c r="E39" s="714"/>
      <c r="F39" s="420" t="b">
        <v>0</v>
      </c>
      <c r="I39" s="2"/>
    </row>
    <row r="40" spans="1:25" ht="20.149999999999999" customHeight="1" x14ac:dyDescent="0.3">
      <c r="A40" s="606"/>
      <c r="B40" s="604"/>
      <c r="C40" s="604"/>
      <c r="D40" s="420" t="b">
        <v>0</v>
      </c>
      <c r="E40" s="693"/>
      <c r="F40" s="420" t="b">
        <v>0</v>
      </c>
      <c r="I40" s="2"/>
    </row>
    <row r="41" spans="1:25" ht="20.149999999999999" customHeight="1" x14ac:dyDescent="0.3">
      <c r="A41" s="606"/>
      <c r="B41" s="604"/>
      <c r="C41" s="604"/>
      <c r="D41" s="420" t="b">
        <v>0</v>
      </c>
      <c r="E41" s="693"/>
      <c r="F41" s="420" t="b">
        <v>0</v>
      </c>
      <c r="I41" s="2"/>
    </row>
    <row r="42" spans="1:25" ht="20.149999999999999" customHeight="1" x14ac:dyDescent="0.3">
      <c r="A42" s="606"/>
      <c r="B42" s="604"/>
      <c r="C42" s="604"/>
      <c r="D42" s="420" t="b">
        <v>0</v>
      </c>
      <c r="E42" s="693"/>
      <c r="F42" s="420" t="b">
        <v>0</v>
      </c>
      <c r="G42" s="2"/>
      <c r="H42" s="2"/>
      <c r="I42" s="2"/>
    </row>
    <row r="43" spans="1:25" ht="20.149999999999999" customHeight="1" x14ac:dyDescent="0.3">
      <c r="A43" s="606"/>
      <c r="B43" s="604"/>
      <c r="C43" s="604"/>
      <c r="D43" s="420" t="b">
        <v>0</v>
      </c>
      <c r="E43" s="693"/>
      <c r="F43" s="420" t="b">
        <v>0</v>
      </c>
      <c r="G43" s="2"/>
      <c r="H43" s="2"/>
    </row>
    <row r="44" spans="1:25" ht="20.149999999999999" customHeight="1" x14ac:dyDescent="0.3">
      <c r="A44" s="606"/>
      <c r="B44" s="604"/>
      <c r="C44" s="604"/>
      <c r="D44" s="420" t="b">
        <v>0</v>
      </c>
      <c r="E44" s="693"/>
      <c r="F44" s="420" t="b">
        <v>0</v>
      </c>
      <c r="G44" s="2"/>
      <c r="H44" s="2"/>
    </row>
    <row r="45" spans="1:25" ht="20.149999999999999" customHeight="1" x14ac:dyDescent="0.3">
      <c r="A45" s="606"/>
      <c r="B45" s="604"/>
      <c r="C45" s="604"/>
      <c r="D45" s="420" t="b">
        <v>0</v>
      </c>
      <c r="E45" s="693"/>
      <c r="F45" s="420" t="b">
        <v>0</v>
      </c>
    </row>
    <row r="46" spans="1:25" ht="20.149999999999999" customHeight="1" thickBot="1" x14ac:dyDescent="0.35">
      <c r="A46" s="607"/>
      <c r="B46" s="605"/>
      <c r="C46" s="605"/>
      <c r="D46" s="419" t="b">
        <v>0</v>
      </c>
      <c r="E46" s="717"/>
      <c r="F46" s="419" t="b">
        <v>0</v>
      </c>
    </row>
  </sheetData>
  <sheetProtection selectLockedCells="1"/>
  <mergeCells count="30">
    <mergeCell ref="H27:J27"/>
    <mergeCell ref="H19:J19"/>
    <mergeCell ref="H24:J24"/>
    <mergeCell ref="H15:J15"/>
    <mergeCell ref="H16:J16"/>
    <mergeCell ref="H18:J18"/>
    <mergeCell ref="H21:J21"/>
    <mergeCell ref="H23:J23"/>
    <mergeCell ref="H13:J13"/>
    <mergeCell ref="H14:J14"/>
    <mergeCell ref="H8:J8"/>
    <mergeCell ref="H12:J12"/>
    <mergeCell ref="H11:J11"/>
    <mergeCell ref="H10:J10"/>
    <mergeCell ref="A33:F33"/>
    <mergeCell ref="I1:K3"/>
    <mergeCell ref="F13:G13"/>
    <mergeCell ref="H22:J22"/>
    <mergeCell ref="H25:J25"/>
    <mergeCell ref="H26:J26"/>
    <mergeCell ref="H6:J6"/>
    <mergeCell ref="H20:J20"/>
    <mergeCell ref="H17:J17"/>
    <mergeCell ref="H9:J9"/>
    <mergeCell ref="D2:F2"/>
    <mergeCell ref="I4:K4"/>
    <mergeCell ref="B4:F4"/>
    <mergeCell ref="A1:H1"/>
    <mergeCell ref="G4:H4"/>
    <mergeCell ref="B3:F3"/>
  </mergeCells>
  <phoneticPr fontId="32" type="noConversion"/>
  <conditionalFormatting sqref="B22 D22">
    <cfRule type="expression" dxfId="57" priority="66">
      <formula>$B32=TRUE</formula>
    </cfRule>
  </conditionalFormatting>
  <conditionalFormatting sqref="B23 D23">
    <cfRule type="expression" dxfId="56" priority="61">
      <formula>#REF!=TRUE</formula>
    </cfRule>
  </conditionalFormatting>
  <conditionalFormatting sqref="B23:B24 D23:D24">
    <cfRule type="expression" dxfId="55" priority="19">
      <formula>$B32=TRUE</formula>
    </cfRule>
  </conditionalFormatting>
  <conditionalFormatting sqref="B24 D24">
    <cfRule type="expression" dxfId="54" priority="17">
      <formula>$B32=TRUE</formula>
    </cfRule>
  </conditionalFormatting>
  <conditionalFormatting sqref="B25 D25">
    <cfRule type="expression" dxfId="53" priority="18">
      <formula>$B32=TRUE</formula>
    </cfRule>
  </conditionalFormatting>
  <conditionalFormatting sqref="B26 D26">
    <cfRule type="expression" dxfId="52" priority="16">
      <formula>$B32=TRUE</formula>
    </cfRule>
  </conditionalFormatting>
  <conditionalFormatting sqref="D2:F2">
    <cfRule type="expression" dxfId="51" priority="20">
      <formula>ISNUMBER(SEARCH("ship", D2))</formula>
    </cfRule>
    <cfRule type="expression" dxfId="50" priority="21">
      <formula>ISNUMBER(SEARCH("Pickup", D2))</formula>
    </cfRule>
    <cfRule type="expression" dxfId="49" priority="22">
      <formula>ISNUMBER(SEARCH("install", D2))</formula>
    </cfRule>
  </conditionalFormatting>
  <conditionalFormatting sqref="H18 K18">
    <cfRule type="expression" dxfId="48" priority="1">
      <formula>$D$7="014"</formula>
    </cfRule>
  </conditionalFormatting>
  <conditionalFormatting sqref="H18:H19 K18:K19">
    <cfRule type="expression" dxfId="47" priority="3">
      <formula>$D$7="047"</formula>
    </cfRule>
  </conditionalFormatting>
  <conditionalFormatting sqref="H19:H20 K19:K20">
    <cfRule type="expression" dxfId="46" priority="4">
      <formula>$D$7="085"</formula>
    </cfRule>
  </conditionalFormatting>
  <conditionalFormatting sqref="H20 K20">
    <cfRule type="expression" dxfId="45" priority="2">
      <formula>$D$7="014"</formula>
    </cfRule>
  </conditionalFormatting>
  <conditionalFormatting sqref="H10:K10">
    <cfRule type="expression" dxfId="44" priority="7">
      <formula>$D$7="014"</formula>
    </cfRule>
  </conditionalFormatting>
  <conditionalFormatting sqref="H10:K11">
    <cfRule type="expression" dxfId="43" priority="5">
      <formula>$D$7="047"</formula>
    </cfRule>
  </conditionalFormatting>
  <conditionalFormatting sqref="H11:K12">
    <cfRule type="expression" dxfId="42" priority="9">
      <formula>$D$7="085"</formula>
    </cfRule>
  </conditionalFormatting>
  <conditionalFormatting sqref="H12:K12">
    <cfRule type="expression" dxfId="41" priority="8">
      <formula>$D$7="014"</formula>
    </cfRule>
  </conditionalFormatting>
  <conditionalFormatting sqref="K23">
    <cfRule type="expression" dxfId="40" priority="14">
      <formula>$K$23&gt;=1</formula>
    </cfRule>
  </conditionalFormatting>
  <conditionalFormatting sqref="K24">
    <cfRule type="expression" dxfId="39" priority="13">
      <formula>$K$24&gt;=1</formula>
    </cfRule>
  </conditionalFormatting>
  <conditionalFormatting sqref="K25">
    <cfRule type="expression" dxfId="38" priority="12">
      <formula>$K$25&gt;=1</formula>
    </cfRule>
  </conditionalFormatting>
  <conditionalFormatting sqref="K26">
    <cfRule type="expression" dxfId="37" priority="11">
      <formula>$K$26&gt;=1</formula>
    </cfRule>
  </conditionalFormatting>
  <conditionalFormatting sqref="K27">
    <cfRule type="expression" dxfId="36" priority="10">
      <formula>$K$27&gt;=1</formula>
    </cfRule>
  </conditionalFormatting>
  <printOptions horizontalCentered="1" verticalCentered="1"/>
  <pageMargins left="0.23622047244094491" right="7.874015748031496E-2" top="0.19685039370078741" bottom="0.19685039370078741" header="0.31496062992125984" footer="0.31496062992125984"/>
  <pageSetup paperSize="9" scale="9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71E7E8E-11A2-4C65-96A0-8E3AD261E3AE}">
          <x14:formula1>
            <xm:f>'Job Details Install'!$O$1:$O$4</xm:f>
          </x14:formula1>
          <xm:sqref>D7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EF09-9CC0-42E8-8B09-AA9B80D28525}">
  <sheetPr>
    <tabColor rgb="FF00B0F0"/>
  </sheetPr>
  <dimension ref="A1:M19"/>
  <sheetViews>
    <sheetView zoomScale="160" zoomScaleNormal="160" workbookViewId="0">
      <selection activeCell="S24" sqref="S24"/>
    </sheetView>
  </sheetViews>
  <sheetFormatPr defaultRowHeight="14.5" x14ac:dyDescent="0.35"/>
  <cols>
    <col min="1" max="1" width="33.1796875" customWidth="1"/>
    <col min="11" max="11" width="7.1796875" customWidth="1"/>
    <col min="12" max="12" width="6.54296875" customWidth="1"/>
    <col min="13" max="13" width="3.54296875" customWidth="1"/>
  </cols>
  <sheetData>
    <row r="1" spans="1:13" x14ac:dyDescent="0.35">
      <c r="A1" s="448"/>
      <c r="B1" s="448"/>
      <c r="C1" s="448"/>
      <c r="D1" s="448"/>
      <c r="E1" s="448"/>
      <c r="F1" s="448"/>
      <c r="G1" s="448"/>
      <c r="H1" s="449"/>
      <c r="I1" s="449"/>
      <c r="J1" s="449"/>
      <c r="K1" s="450"/>
      <c r="L1" s="450"/>
      <c r="M1" s="445"/>
    </row>
    <row r="2" spans="1:13" x14ac:dyDescent="0.35">
      <c r="A2" s="911" t="s">
        <v>248</v>
      </c>
      <c r="B2" s="911" t="s">
        <v>406</v>
      </c>
      <c r="C2" s="911"/>
      <c r="D2" s="911"/>
      <c r="E2" s="452" t="s">
        <v>407</v>
      </c>
      <c r="F2" s="451"/>
      <c r="G2" s="913" t="s">
        <v>408</v>
      </c>
      <c r="H2" s="914" t="s">
        <v>409</v>
      </c>
      <c r="I2" s="916" t="s">
        <v>410</v>
      </c>
      <c r="J2" s="916" t="s">
        <v>411</v>
      </c>
      <c r="K2" s="909" t="s">
        <v>412</v>
      </c>
      <c r="L2" s="909" t="s">
        <v>413</v>
      </c>
      <c r="M2" s="445"/>
    </row>
    <row r="3" spans="1:13" ht="22" customHeight="1" x14ac:dyDescent="0.35">
      <c r="A3" s="912"/>
      <c r="B3" s="454" t="s">
        <v>414</v>
      </c>
      <c r="C3" s="454" t="s">
        <v>415</v>
      </c>
      <c r="D3" s="454" t="s">
        <v>416</v>
      </c>
      <c r="E3" s="455"/>
      <c r="F3" s="454" t="s">
        <v>46</v>
      </c>
      <c r="G3" s="912"/>
      <c r="H3" s="915"/>
      <c r="I3" s="917"/>
      <c r="J3" s="917"/>
      <c r="K3" s="910"/>
      <c r="L3" s="910"/>
      <c r="M3" s="445"/>
    </row>
    <row r="4" spans="1:13" ht="24.65" customHeight="1" x14ac:dyDescent="0.35">
      <c r="A4" s="456" t="s">
        <v>417</v>
      </c>
      <c r="B4" s="457"/>
      <c r="C4" s="457"/>
      <c r="D4" s="457"/>
      <c r="E4" s="458"/>
      <c r="F4" s="457"/>
      <c r="G4" s="457"/>
      <c r="H4" s="459"/>
      <c r="I4" s="460"/>
      <c r="J4" s="460"/>
      <c r="K4" s="453"/>
      <c r="L4" s="453"/>
      <c r="M4" s="445"/>
    </row>
    <row r="5" spans="1:13" x14ac:dyDescent="0.35">
      <c r="A5" s="461" t="s">
        <v>217</v>
      </c>
      <c r="B5" s="462">
        <v>1800</v>
      </c>
      <c r="C5" s="462">
        <v>400</v>
      </c>
      <c r="D5" s="462">
        <v>25</v>
      </c>
      <c r="E5" s="463"/>
      <c r="F5" s="462">
        <f>'iRobe PickSheet'!D11+'iRobe PickSheet'!D12+'iRobe PickSheet'!D13</f>
        <v>0</v>
      </c>
      <c r="G5" s="462">
        <v>2</v>
      </c>
      <c r="H5" s="464">
        <f t="shared" ref="H5:H10" si="0">F5/G5</f>
        <v>0</v>
      </c>
      <c r="I5" s="465">
        <v>24.68</v>
      </c>
      <c r="J5" s="465">
        <f>H5*I5</f>
        <v>0</v>
      </c>
      <c r="K5" s="610">
        <f>(B5+47)*(C5+47)*(D5*G5+15)/1000000000</f>
        <v>5.3664585000000001E-2</v>
      </c>
      <c r="L5" s="611">
        <f t="shared" ref="L5:L13" si="1">K5*H5</f>
        <v>0</v>
      </c>
      <c r="M5" s="445"/>
    </row>
    <row r="6" spans="1:13" x14ac:dyDescent="0.35">
      <c r="A6" s="461" t="s">
        <v>217</v>
      </c>
      <c r="B6" s="462">
        <v>1200</v>
      </c>
      <c r="C6" s="462">
        <v>400</v>
      </c>
      <c r="D6" s="462">
        <v>25</v>
      </c>
      <c r="E6" s="463"/>
      <c r="F6" s="462">
        <f>'iRobe PickSheet'!D15</f>
        <v>0</v>
      </c>
      <c r="G6" s="462">
        <v>2</v>
      </c>
      <c r="H6" s="464">
        <f t="shared" si="0"/>
        <v>0</v>
      </c>
      <c r="I6" s="465">
        <v>16.32</v>
      </c>
      <c r="J6" s="465">
        <f>H6*I6</f>
        <v>0</v>
      </c>
      <c r="K6" s="610">
        <f>(B6+47)*(C6+47)*(D6*G6+15)/1000000000</f>
        <v>3.6231584999999997E-2</v>
      </c>
      <c r="L6" s="611">
        <f t="shared" si="1"/>
        <v>0</v>
      </c>
      <c r="M6" s="445"/>
    </row>
    <row r="7" spans="1:13" x14ac:dyDescent="0.35">
      <c r="A7" s="461" t="s">
        <v>418</v>
      </c>
      <c r="B7" s="462">
        <v>2400</v>
      </c>
      <c r="C7" s="462">
        <v>300</v>
      </c>
      <c r="D7" s="462">
        <v>25</v>
      </c>
      <c r="E7" s="463"/>
      <c r="F7" s="462">
        <f>'iRobe PickSheet'!D9</f>
        <v>0</v>
      </c>
      <c r="G7" s="462">
        <v>2</v>
      </c>
      <c r="H7" s="464">
        <f t="shared" si="0"/>
        <v>0</v>
      </c>
      <c r="I7" s="465">
        <v>25.28</v>
      </c>
      <c r="J7" s="465">
        <f t="shared" ref="J7:J12" si="2">H7*I7</f>
        <v>0</v>
      </c>
      <c r="K7" s="610">
        <f>(B7+47)*(C7+47)*(D7*G7+15)/1000000000</f>
        <v>5.5192085000000002E-2</v>
      </c>
      <c r="L7" s="611">
        <f t="shared" si="1"/>
        <v>0</v>
      </c>
      <c r="M7" s="445"/>
    </row>
    <row r="8" spans="1:13" x14ac:dyDescent="0.35">
      <c r="A8" s="461" t="s">
        <v>419</v>
      </c>
      <c r="B8" s="462">
        <v>2400</v>
      </c>
      <c r="C8" s="462">
        <v>180</v>
      </c>
      <c r="D8" s="462">
        <v>18</v>
      </c>
      <c r="E8" s="463"/>
      <c r="F8" s="462">
        <f>'iRobe PickSheet'!D10</f>
        <v>0</v>
      </c>
      <c r="G8" s="462">
        <v>2</v>
      </c>
      <c r="H8" s="464">
        <f t="shared" si="0"/>
        <v>0</v>
      </c>
      <c r="I8" s="465">
        <v>11.68</v>
      </c>
      <c r="J8" s="465">
        <f t="shared" si="2"/>
        <v>0</v>
      </c>
      <c r="K8" s="610">
        <f>(B8+47)*(C8+47)*(D8*G8+15)/1000000000</f>
        <v>2.8328919000000001E-2</v>
      </c>
      <c r="L8" s="611">
        <f t="shared" si="1"/>
        <v>0</v>
      </c>
      <c r="M8" s="445"/>
    </row>
    <row r="9" spans="1:13" x14ac:dyDescent="0.35">
      <c r="A9" s="461" t="s">
        <v>199</v>
      </c>
      <c r="B9" s="462">
        <v>400</v>
      </c>
      <c r="C9" s="462">
        <v>400</v>
      </c>
      <c r="D9" s="462">
        <v>25</v>
      </c>
      <c r="E9" s="463"/>
      <c r="F9" s="462">
        <f>'iRobe PickSheet'!D21</f>
        <v>0</v>
      </c>
      <c r="G9" s="462">
        <v>5</v>
      </c>
      <c r="H9" s="464">
        <f t="shared" si="0"/>
        <v>0</v>
      </c>
      <c r="I9" s="465">
        <v>13.6</v>
      </c>
      <c r="J9" s="465">
        <f t="shared" si="2"/>
        <v>0</v>
      </c>
      <c r="K9" s="610">
        <f>(B9+47)*(C9+47)*(D9*G9+15)/1000000000</f>
        <v>2.797326E-2</v>
      </c>
      <c r="L9" s="611">
        <f t="shared" si="1"/>
        <v>0</v>
      </c>
      <c r="M9" s="445"/>
    </row>
    <row r="10" spans="1:13" x14ac:dyDescent="0.35">
      <c r="A10" s="461" t="s">
        <v>199</v>
      </c>
      <c r="B10" s="462">
        <v>550</v>
      </c>
      <c r="C10" s="462">
        <v>400</v>
      </c>
      <c r="D10" s="462">
        <v>25</v>
      </c>
      <c r="E10" s="463"/>
      <c r="F10" s="462">
        <f>'iRobe PickSheet'!D20</f>
        <v>0</v>
      </c>
      <c r="G10" s="462">
        <v>5</v>
      </c>
      <c r="H10" s="464">
        <f t="shared" si="0"/>
        <v>0</v>
      </c>
      <c r="I10" s="465">
        <v>16.32</v>
      </c>
      <c r="J10" s="465">
        <f t="shared" si="2"/>
        <v>0</v>
      </c>
      <c r="K10" s="610">
        <f>(B10+47)*(C10+47)*(D10*G10+20)/1000000000</f>
        <v>3.8694554999999999E-2</v>
      </c>
      <c r="L10" s="611">
        <f t="shared" si="1"/>
        <v>0</v>
      </c>
      <c r="M10" s="445"/>
    </row>
    <row r="11" spans="1:13" x14ac:dyDescent="0.35">
      <c r="A11" s="466" t="s">
        <v>420</v>
      </c>
      <c r="B11" s="462">
        <v>600</v>
      </c>
      <c r="C11" s="462">
        <v>373</v>
      </c>
      <c r="D11" s="465">
        <f>169*3</f>
        <v>507</v>
      </c>
      <c r="E11" s="463"/>
      <c r="F11" s="462">
        <f>'iRobe PickSheet'!D26</f>
        <v>0</v>
      </c>
      <c r="G11" s="462">
        <v>1</v>
      </c>
      <c r="H11" s="464">
        <f>F11</f>
        <v>0</v>
      </c>
      <c r="I11" s="465">
        <v>38.17</v>
      </c>
      <c r="J11" s="465">
        <f t="shared" si="2"/>
        <v>0</v>
      </c>
      <c r="K11" s="610">
        <v>0.15</v>
      </c>
      <c r="L11" s="611">
        <f t="shared" si="1"/>
        <v>0</v>
      </c>
      <c r="M11" s="445"/>
    </row>
    <row r="12" spans="1:13" x14ac:dyDescent="0.35">
      <c r="A12" s="461" t="s">
        <v>421</v>
      </c>
      <c r="B12" s="462">
        <v>400</v>
      </c>
      <c r="C12" s="462">
        <v>373</v>
      </c>
      <c r="D12" s="465">
        <f>169*3</f>
        <v>507</v>
      </c>
      <c r="E12" s="463"/>
      <c r="F12" s="462">
        <f>'iRobe PickSheet'!D25</f>
        <v>0</v>
      </c>
      <c r="G12" s="462">
        <v>1</v>
      </c>
      <c r="H12" s="464">
        <f>F12</f>
        <v>0</v>
      </c>
      <c r="I12" s="465">
        <v>32</v>
      </c>
      <c r="J12" s="465">
        <f t="shared" si="2"/>
        <v>0</v>
      </c>
      <c r="K12" s="610">
        <v>0.11</v>
      </c>
      <c r="L12" s="611">
        <f t="shared" si="1"/>
        <v>0</v>
      </c>
      <c r="M12" s="445"/>
    </row>
    <row r="13" spans="1:13" x14ac:dyDescent="0.35">
      <c r="A13" s="467" t="s">
        <v>422</v>
      </c>
      <c r="B13" s="462">
        <v>1200</v>
      </c>
      <c r="C13" s="462">
        <v>30</v>
      </c>
      <c r="D13" s="462">
        <v>15</v>
      </c>
      <c r="E13" s="463"/>
      <c r="F13" s="462"/>
      <c r="G13" s="462">
        <v>20</v>
      </c>
      <c r="H13" s="464">
        <f>F13/G13</f>
        <v>0</v>
      </c>
      <c r="I13" s="465"/>
      <c r="J13" s="465"/>
      <c r="K13" s="610">
        <v>0.02</v>
      </c>
      <c r="L13" s="612">
        <f t="shared" si="1"/>
        <v>0</v>
      </c>
      <c r="M13" s="445"/>
    </row>
    <row r="14" spans="1:13" x14ac:dyDescent="0.35">
      <c r="A14" s="468"/>
      <c r="B14" s="468"/>
      <c r="C14" s="468"/>
      <c r="D14" s="468"/>
      <c r="E14" s="469"/>
      <c r="F14" s="468"/>
      <c r="G14" s="468"/>
      <c r="H14" s="469">
        <f>SUM(H5:H13)</f>
        <v>0</v>
      </c>
      <c r="I14" s="468"/>
      <c r="J14" s="470">
        <f>SUM(J5:J13)</f>
        <v>0</v>
      </c>
      <c r="K14" s="471" t="s">
        <v>449</v>
      </c>
      <c r="L14" s="613">
        <f>SUM(L5:L13)</f>
        <v>0</v>
      </c>
      <c r="M14" s="472" t="s">
        <v>450</v>
      </c>
    </row>
    <row r="15" spans="1:13" x14ac:dyDescent="0.35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45"/>
      <c r="L15" s="614"/>
      <c r="M15" s="445"/>
    </row>
    <row r="16" spans="1:13" x14ac:dyDescent="0.35">
      <c r="L16" s="89"/>
    </row>
    <row r="17" spans="1:12" x14ac:dyDescent="0.35">
      <c r="L17" s="89"/>
    </row>
    <row r="18" spans="1:12" x14ac:dyDescent="0.35">
      <c r="L18" s="89"/>
    </row>
    <row r="19" spans="1:12" x14ac:dyDescent="0.35">
      <c r="A19" t="s">
        <v>20</v>
      </c>
      <c r="H19" s="88">
        <f>'Sliding Doors'!R16+'Sliding Doors'!AC16+'Sliding Doors'!AN16+'Sliding Doors'!AY16+'Sliding Doors'!BJ16+'Sliding Doors'!BU16+'Sliding Doors'!CF16+'Sliding Doors'!CQ16</f>
        <v>0</v>
      </c>
      <c r="I19" s="88"/>
      <c r="J19" s="88"/>
      <c r="K19" s="88"/>
      <c r="L19" s="615">
        <f>SUM('Sliding Doors'!B36:I36)</f>
        <v>0</v>
      </c>
    </row>
  </sheetData>
  <mergeCells count="8">
    <mergeCell ref="K2:K3"/>
    <mergeCell ref="L2:L3"/>
    <mergeCell ref="A2:A3"/>
    <mergeCell ref="B2:D2"/>
    <mergeCell ref="G2:G3"/>
    <mergeCell ref="H2:H3"/>
    <mergeCell ref="I2:I3"/>
    <mergeCell ref="J2:J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407B9-0B1A-4A7E-A3ED-535A4A895367}">
  <sheetPr>
    <tabColor rgb="FF00B0F0"/>
  </sheetPr>
  <dimension ref="A1:N32"/>
  <sheetViews>
    <sheetView workbookViewId="0">
      <selection activeCell="K40" sqref="K40"/>
    </sheetView>
  </sheetViews>
  <sheetFormatPr defaultRowHeight="14.5" x14ac:dyDescent="0.35"/>
  <cols>
    <col min="1" max="1" width="24.81640625" customWidth="1"/>
    <col min="2" max="2" width="10" customWidth="1"/>
    <col min="3" max="4" width="9.81640625" customWidth="1"/>
    <col min="5" max="5" width="8.453125" customWidth="1"/>
    <col min="6" max="6" width="5.81640625" customWidth="1"/>
    <col min="7" max="7" width="7.54296875" customWidth="1"/>
    <col min="8" max="9" width="8.81640625" customWidth="1"/>
    <col min="10" max="10" width="2.54296875" customWidth="1"/>
    <col min="11" max="12" width="8.81640625" customWidth="1"/>
    <col min="256" max="256" width="29.81640625" customWidth="1"/>
    <col min="257" max="257" width="15.81640625" customWidth="1"/>
    <col min="258" max="258" width="12.1796875" customWidth="1"/>
    <col min="259" max="259" width="13.54296875" customWidth="1"/>
    <col min="512" max="512" width="29.81640625" customWidth="1"/>
    <col min="513" max="513" width="15.81640625" customWidth="1"/>
    <col min="514" max="514" width="12.1796875" customWidth="1"/>
    <col min="515" max="515" width="13.54296875" customWidth="1"/>
    <col min="768" max="768" width="29.81640625" customWidth="1"/>
    <col min="769" max="769" width="15.81640625" customWidth="1"/>
    <col min="770" max="770" width="12.1796875" customWidth="1"/>
    <col min="771" max="771" width="13.54296875" customWidth="1"/>
    <col min="1024" max="1024" width="29.81640625" customWidth="1"/>
    <col min="1025" max="1025" width="15.81640625" customWidth="1"/>
    <col min="1026" max="1026" width="12.1796875" customWidth="1"/>
    <col min="1027" max="1027" width="13.54296875" customWidth="1"/>
    <col min="1280" max="1280" width="29.81640625" customWidth="1"/>
    <col min="1281" max="1281" width="15.81640625" customWidth="1"/>
    <col min="1282" max="1282" width="12.1796875" customWidth="1"/>
    <col min="1283" max="1283" width="13.54296875" customWidth="1"/>
    <col min="1536" max="1536" width="29.81640625" customWidth="1"/>
    <col min="1537" max="1537" width="15.81640625" customWidth="1"/>
    <col min="1538" max="1538" width="12.1796875" customWidth="1"/>
    <col min="1539" max="1539" width="13.54296875" customWidth="1"/>
    <col min="1792" max="1792" width="29.81640625" customWidth="1"/>
    <col min="1793" max="1793" width="15.81640625" customWidth="1"/>
    <col min="1794" max="1794" width="12.1796875" customWidth="1"/>
    <col min="1795" max="1795" width="13.54296875" customWidth="1"/>
    <col min="2048" max="2048" width="29.81640625" customWidth="1"/>
    <col min="2049" max="2049" width="15.81640625" customWidth="1"/>
    <col min="2050" max="2050" width="12.1796875" customWidth="1"/>
    <col min="2051" max="2051" width="13.54296875" customWidth="1"/>
    <col min="2304" max="2304" width="29.81640625" customWidth="1"/>
    <col min="2305" max="2305" width="15.81640625" customWidth="1"/>
    <col min="2306" max="2306" width="12.1796875" customWidth="1"/>
    <col min="2307" max="2307" width="13.54296875" customWidth="1"/>
    <col min="2560" max="2560" width="29.81640625" customWidth="1"/>
    <col min="2561" max="2561" width="15.81640625" customWidth="1"/>
    <col min="2562" max="2562" width="12.1796875" customWidth="1"/>
    <col min="2563" max="2563" width="13.54296875" customWidth="1"/>
    <col min="2816" max="2816" width="29.81640625" customWidth="1"/>
    <col min="2817" max="2817" width="15.81640625" customWidth="1"/>
    <col min="2818" max="2818" width="12.1796875" customWidth="1"/>
    <col min="2819" max="2819" width="13.54296875" customWidth="1"/>
    <col min="3072" max="3072" width="29.81640625" customWidth="1"/>
    <col min="3073" max="3073" width="15.81640625" customWidth="1"/>
    <col min="3074" max="3074" width="12.1796875" customWidth="1"/>
    <col min="3075" max="3075" width="13.54296875" customWidth="1"/>
    <col min="3328" max="3328" width="29.81640625" customWidth="1"/>
    <col min="3329" max="3329" width="15.81640625" customWidth="1"/>
    <col min="3330" max="3330" width="12.1796875" customWidth="1"/>
    <col min="3331" max="3331" width="13.54296875" customWidth="1"/>
    <col min="3584" max="3584" width="29.81640625" customWidth="1"/>
    <col min="3585" max="3585" width="15.81640625" customWidth="1"/>
    <col min="3586" max="3586" width="12.1796875" customWidth="1"/>
    <col min="3587" max="3587" width="13.54296875" customWidth="1"/>
    <col min="3840" max="3840" width="29.81640625" customWidth="1"/>
    <col min="3841" max="3841" width="15.81640625" customWidth="1"/>
    <col min="3842" max="3842" width="12.1796875" customWidth="1"/>
    <col min="3843" max="3843" width="13.54296875" customWidth="1"/>
    <col min="4096" max="4096" width="29.81640625" customWidth="1"/>
    <col min="4097" max="4097" width="15.81640625" customWidth="1"/>
    <col min="4098" max="4098" width="12.1796875" customWidth="1"/>
    <col min="4099" max="4099" width="13.54296875" customWidth="1"/>
    <col min="4352" max="4352" width="29.81640625" customWidth="1"/>
    <col min="4353" max="4353" width="15.81640625" customWidth="1"/>
    <col min="4354" max="4354" width="12.1796875" customWidth="1"/>
    <col min="4355" max="4355" width="13.54296875" customWidth="1"/>
    <col min="4608" max="4608" width="29.81640625" customWidth="1"/>
    <col min="4609" max="4609" width="15.81640625" customWidth="1"/>
    <col min="4610" max="4610" width="12.1796875" customWidth="1"/>
    <col min="4611" max="4611" width="13.54296875" customWidth="1"/>
    <col min="4864" max="4864" width="29.81640625" customWidth="1"/>
    <col min="4865" max="4865" width="15.81640625" customWidth="1"/>
    <col min="4866" max="4866" width="12.1796875" customWidth="1"/>
    <col min="4867" max="4867" width="13.54296875" customWidth="1"/>
    <col min="5120" max="5120" width="29.81640625" customWidth="1"/>
    <col min="5121" max="5121" width="15.81640625" customWidth="1"/>
    <col min="5122" max="5122" width="12.1796875" customWidth="1"/>
    <col min="5123" max="5123" width="13.54296875" customWidth="1"/>
    <col min="5376" max="5376" width="29.81640625" customWidth="1"/>
    <col min="5377" max="5377" width="15.81640625" customWidth="1"/>
    <col min="5378" max="5378" width="12.1796875" customWidth="1"/>
    <col min="5379" max="5379" width="13.54296875" customWidth="1"/>
    <col min="5632" max="5632" width="29.81640625" customWidth="1"/>
    <col min="5633" max="5633" width="15.81640625" customWidth="1"/>
    <col min="5634" max="5634" width="12.1796875" customWidth="1"/>
    <col min="5635" max="5635" width="13.54296875" customWidth="1"/>
    <col min="5888" max="5888" width="29.81640625" customWidth="1"/>
    <col min="5889" max="5889" width="15.81640625" customWidth="1"/>
    <col min="5890" max="5890" width="12.1796875" customWidth="1"/>
    <col min="5891" max="5891" width="13.54296875" customWidth="1"/>
    <col min="6144" max="6144" width="29.81640625" customWidth="1"/>
    <col min="6145" max="6145" width="15.81640625" customWidth="1"/>
    <col min="6146" max="6146" width="12.1796875" customWidth="1"/>
    <col min="6147" max="6147" width="13.54296875" customWidth="1"/>
    <col min="6400" max="6400" width="29.81640625" customWidth="1"/>
    <col min="6401" max="6401" width="15.81640625" customWidth="1"/>
    <col min="6402" max="6402" width="12.1796875" customWidth="1"/>
    <col min="6403" max="6403" width="13.54296875" customWidth="1"/>
    <col min="6656" max="6656" width="29.81640625" customWidth="1"/>
    <col min="6657" max="6657" width="15.81640625" customWidth="1"/>
    <col min="6658" max="6658" width="12.1796875" customWidth="1"/>
    <col min="6659" max="6659" width="13.54296875" customWidth="1"/>
    <col min="6912" max="6912" width="29.81640625" customWidth="1"/>
    <col min="6913" max="6913" width="15.81640625" customWidth="1"/>
    <col min="6914" max="6914" width="12.1796875" customWidth="1"/>
    <col min="6915" max="6915" width="13.54296875" customWidth="1"/>
    <col min="7168" max="7168" width="29.81640625" customWidth="1"/>
    <col min="7169" max="7169" width="15.81640625" customWidth="1"/>
    <col min="7170" max="7170" width="12.1796875" customWidth="1"/>
    <col min="7171" max="7171" width="13.54296875" customWidth="1"/>
    <col min="7424" max="7424" width="29.81640625" customWidth="1"/>
    <col min="7425" max="7425" width="15.81640625" customWidth="1"/>
    <col min="7426" max="7426" width="12.1796875" customWidth="1"/>
    <col min="7427" max="7427" width="13.54296875" customWidth="1"/>
    <col min="7680" max="7680" width="29.81640625" customWidth="1"/>
    <col min="7681" max="7681" width="15.81640625" customWidth="1"/>
    <col min="7682" max="7682" width="12.1796875" customWidth="1"/>
    <col min="7683" max="7683" width="13.54296875" customWidth="1"/>
    <col min="7936" max="7936" width="29.81640625" customWidth="1"/>
    <col min="7937" max="7937" width="15.81640625" customWidth="1"/>
    <col min="7938" max="7938" width="12.1796875" customWidth="1"/>
    <col min="7939" max="7939" width="13.54296875" customWidth="1"/>
    <col min="8192" max="8192" width="29.81640625" customWidth="1"/>
    <col min="8193" max="8193" width="15.81640625" customWidth="1"/>
    <col min="8194" max="8194" width="12.1796875" customWidth="1"/>
    <col min="8195" max="8195" width="13.54296875" customWidth="1"/>
    <col min="8448" max="8448" width="29.81640625" customWidth="1"/>
    <col min="8449" max="8449" width="15.81640625" customWidth="1"/>
    <col min="8450" max="8450" width="12.1796875" customWidth="1"/>
    <col min="8451" max="8451" width="13.54296875" customWidth="1"/>
    <col min="8704" max="8704" width="29.81640625" customWidth="1"/>
    <col min="8705" max="8705" width="15.81640625" customWidth="1"/>
    <col min="8706" max="8706" width="12.1796875" customWidth="1"/>
    <col min="8707" max="8707" width="13.54296875" customWidth="1"/>
    <col min="8960" max="8960" width="29.81640625" customWidth="1"/>
    <col min="8961" max="8961" width="15.81640625" customWidth="1"/>
    <col min="8962" max="8962" width="12.1796875" customWidth="1"/>
    <col min="8963" max="8963" width="13.54296875" customWidth="1"/>
    <col min="9216" max="9216" width="29.81640625" customWidth="1"/>
    <col min="9217" max="9217" width="15.81640625" customWidth="1"/>
    <col min="9218" max="9218" width="12.1796875" customWidth="1"/>
    <col min="9219" max="9219" width="13.54296875" customWidth="1"/>
    <col min="9472" max="9472" width="29.81640625" customWidth="1"/>
    <col min="9473" max="9473" width="15.81640625" customWidth="1"/>
    <col min="9474" max="9474" width="12.1796875" customWidth="1"/>
    <col min="9475" max="9475" width="13.54296875" customWidth="1"/>
    <col min="9728" max="9728" width="29.81640625" customWidth="1"/>
    <col min="9729" max="9729" width="15.81640625" customWidth="1"/>
    <col min="9730" max="9730" width="12.1796875" customWidth="1"/>
    <col min="9731" max="9731" width="13.54296875" customWidth="1"/>
    <col min="9984" max="9984" width="29.81640625" customWidth="1"/>
    <col min="9985" max="9985" width="15.81640625" customWidth="1"/>
    <col min="9986" max="9986" width="12.1796875" customWidth="1"/>
    <col min="9987" max="9987" width="13.54296875" customWidth="1"/>
    <col min="10240" max="10240" width="29.81640625" customWidth="1"/>
    <col min="10241" max="10241" width="15.81640625" customWidth="1"/>
    <col min="10242" max="10242" width="12.1796875" customWidth="1"/>
    <col min="10243" max="10243" width="13.54296875" customWidth="1"/>
    <col min="10496" max="10496" width="29.81640625" customWidth="1"/>
    <col min="10497" max="10497" width="15.81640625" customWidth="1"/>
    <col min="10498" max="10498" width="12.1796875" customWidth="1"/>
    <col min="10499" max="10499" width="13.54296875" customWidth="1"/>
    <col min="10752" max="10752" width="29.81640625" customWidth="1"/>
    <col min="10753" max="10753" width="15.81640625" customWidth="1"/>
    <col min="10754" max="10754" width="12.1796875" customWidth="1"/>
    <col min="10755" max="10755" width="13.54296875" customWidth="1"/>
    <col min="11008" max="11008" width="29.81640625" customWidth="1"/>
    <col min="11009" max="11009" width="15.81640625" customWidth="1"/>
    <col min="11010" max="11010" width="12.1796875" customWidth="1"/>
    <col min="11011" max="11011" width="13.54296875" customWidth="1"/>
    <col min="11264" max="11264" width="29.81640625" customWidth="1"/>
    <col min="11265" max="11265" width="15.81640625" customWidth="1"/>
    <col min="11266" max="11266" width="12.1796875" customWidth="1"/>
    <col min="11267" max="11267" width="13.54296875" customWidth="1"/>
    <col min="11520" max="11520" width="29.81640625" customWidth="1"/>
    <col min="11521" max="11521" width="15.81640625" customWidth="1"/>
    <col min="11522" max="11522" width="12.1796875" customWidth="1"/>
    <col min="11523" max="11523" width="13.54296875" customWidth="1"/>
    <col min="11776" max="11776" width="29.81640625" customWidth="1"/>
    <col min="11777" max="11777" width="15.81640625" customWidth="1"/>
    <col min="11778" max="11778" width="12.1796875" customWidth="1"/>
    <col min="11779" max="11779" width="13.54296875" customWidth="1"/>
    <col min="12032" max="12032" width="29.81640625" customWidth="1"/>
    <col min="12033" max="12033" width="15.81640625" customWidth="1"/>
    <col min="12034" max="12034" width="12.1796875" customWidth="1"/>
    <col min="12035" max="12035" width="13.54296875" customWidth="1"/>
    <col min="12288" max="12288" width="29.81640625" customWidth="1"/>
    <col min="12289" max="12289" width="15.81640625" customWidth="1"/>
    <col min="12290" max="12290" width="12.1796875" customWidth="1"/>
    <col min="12291" max="12291" width="13.54296875" customWidth="1"/>
    <col min="12544" max="12544" width="29.81640625" customWidth="1"/>
    <col min="12545" max="12545" width="15.81640625" customWidth="1"/>
    <col min="12546" max="12546" width="12.1796875" customWidth="1"/>
    <col min="12547" max="12547" width="13.54296875" customWidth="1"/>
    <col min="12800" max="12800" width="29.81640625" customWidth="1"/>
    <col min="12801" max="12801" width="15.81640625" customWidth="1"/>
    <col min="12802" max="12802" width="12.1796875" customWidth="1"/>
    <col min="12803" max="12803" width="13.54296875" customWidth="1"/>
    <col min="13056" max="13056" width="29.81640625" customWidth="1"/>
    <col min="13057" max="13057" width="15.81640625" customWidth="1"/>
    <col min="13058" max="13058" width="12.1796875" customWidth="1"/>
    <col min="13059" max="13059" width="13.54296875" customWidth="1"/>
    <col min="13312" max="13312" width="29.81640625" customWidth="1"/>
    <col min="13313" max="13313" width="15.81640625" customWidth="1"/>
    <col min="13314" max="13314" width="12.1796875" customWidth="1"/>
    <col min="13315" max="13315" width="13.54296875" customWidth="1"/>
    <col min="13568" max="13568" width="29.81640625" customWidth="1"/>
    <col min="13569" max="13569" width="15.81640625" customWidth="1"/>
    <col min="13570" max="13570" width="12.1796875" customWidth="1"/>
    <col min="13571" max="13571" width="13.54296875" customWidth="1"/>
    <col min="13824" max="13824" width="29.81640625" customWidth="1"/>
    <col min="13825" max="13825" width="15.81640625" customWidth="1"/>
    <col min="13826" max="13826" width="12.1796875" customWidth="1"/>
    <col min="13827" max="13827" width="13.54296875" customWidth="1"/>
    <col min="14080" max="14080" width="29.81640625" customWidth="1"/>
    <col min="14081" max="14081" width="15.81640625" customWidth="1"/>
    <col min="14082" max="14082" width="12.1796875" customWidth="1"/>
    <col min="14083" max="14083" width="13.54296875" customWidth="1"/>
    <col min="14336" max="14336" width="29.81640625" customWidth="1"/>
    <col min="14337" max="14337" width="15.81640625" customWidth="1"/>
    <col min="14338" max="14338" width="12.1796875" customWidth="1"/>
    <col min="14339" max="14339" width="13.54296875" customWidth="1"/>
    <col min="14592" max="14592" width="29.81640625" customWidth="1"/>
    <col min="14593" max="14593" width="15.81640625" customWidth="1"/>
    <col min="14594" max="14594" width="12.1796875" customWidth="1"/>
    <col min="14595" max="14595" width="13.54296875" customWidth="1"/>
    <col min="14848" max="14848" width="29.81640625" customWidth="1"/>
    <col min="14849" max="14849" width="15.81640625" customWidth="1"/>
    <col min="14850" max="14850" width="12.1796875" customWidth="1"/>
    <col min="14851" max="14851" width="13.54296875" customWidth="1"/>
    <col min="15104" max="15104" width="29.81640625" customWidth="1"/>
    <col min="15105" max="15105" width="15.81640625" customWidth="1"/>
    <col min="15106" max="15106" width="12.1796875" customWidth="1"/>
    <col min="15107" max="15107" width="13.54296875" customWidth="1"/>
    <col min="15360" max="15360" width="29.81640625" customWidth="1"/>
    <col min="15361" max="15361" width="15.81640625" customWidth="1"/>
    <col min="15362" max="15362" width="12.1796875" customWidth="1"/>
    <col min="15363" max="15363" width="13.54296875" customWidth="1"/>
    <col min="15616" max="15616" width="29.81640625" customWidth="1"/>
    <col min="15617" max="15617" width="15.81640625" customWidth="1"/>
    <col min="15618" max="15618" width="12.1796875" customWidth="1"/>
    <col min="15619" max="15619" width="13.54296875" customWidth="1"/>
    <col min="15872" max="15872" width="29.81640625" customWidth="1"/>
    <col min="15873" max="15873" width="15.81640625" customWidth="1"/>
    <col min="15874" max="15874" width="12.1796875" customWidth="1"/>
    <col min="15875" max="15875" width="13.54296875" customWidth="1"/>
    <col min="16128" max="16128" width="29.81640625" customWidth="1"/>
    <col min="16129" max="16129" width="15.81640625" customWidth="1"/>
    <col min="16130" max="16130" width="12.1796875" customWidth="1"/>
    <col min="16131" max="16131" width="13.54296875" customWidth="1"/>
  </cols>
  <sheetData>
    <row r="1" spans="1:14" ht="48" customHeight="1" x14ac:dyDescent="0.35"/>
    <row r="2" spans="1:14" ht="37.4" customHeight="1" x14ac:dyDescent="0.35">
      <c r="A2" s="168" t="s">
        <v>121</v>
      </c>
      <c r="B2" s="168"/>
      <c r="C2" s="169"/>
    </row>
    <row r="3" spans="1:14" ht="26" x14ac:dyDescent="0.35">
      <c r="A3" s="170"/>
      <c r="B3" s="170"/>
      <c r="C3" s="171" t="s">
        <v>122</v>
      </c>
    </row>
    <row r="4" spans="1:14" ht="17.149999999999999" customHeight="1" x14ac:dyDescent="0.35">
      <c r="A4" s="172" t="s">
        <v>123</v>
      </c>
      <c r="B4" s="172"/>
      <c r="C4" s="173"/>
    </row>
    <row r="5" spans="1:14" ht="17.149999999999999" customHeight="1" x14ac:dyDescent="0.35">
      <c r="A5" s="170" t="s">
        <v>124</v>
      </c>
      <c r="B5" s="170" t="s">
        <v>125</v>
      </c>
      <c r="C5" s="174">
        <v>131.87</v>
      </c>
      <c r="E5" s="100"/>
    </row>
    <row r="6" spans="1:14" ht="17.149999999999999" customHeight="1" x14ac:dyDescent="0.35">
      <c r="A6" s="170" t="s">
        <v>126</v>
      </c>
      <c r="B6" s="170" t="s">
        <v>127</v>
      </c>
      <c r="C6" s="174">
        <v>87.54</v>
      </c>
      <c r="E6" s="100"/>
    </row>
    <row r="7" spans="1:14" ht="17.149999999999999" customHeight="1" x14ac:dyDescent="0.35">
      <c r="A7" s="170" t="s">
        <v>128</v>
      </c>
      <c r="B7" s="170" t="s">
        <v>129</v>
      </c>
      <c r="C7" s="174">
        <v>195</v>
      </c>
      <c r="E7" s="100"/>
    </row>
    <row r="8" spans="1:14" ht="17.149999999999999" customHeight="1" x14ac:dyDescent="0.35">
      <c r="A8" s="170" t="s">
        <v>130</v>
      </c>
      <c r="B8" s="170" t="s">
        <v>131</v>
      </c>
      <c r="C8" s="174">
        <v>42.49</v>
      </c>
      <c r="E8" s="100"/>
    </row>
    <row r="10" spans="1:14" x14ac:dyDescent="0.35">
      <c r="A10" s="32" t="s">
        <v>132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4" ht="20.149999999999999" customHeight="1" x14ac:dyDescent="0.35">
      <c r="A11" s="33" t="s">
        <v>37</v>
      </c>
      <c r="B11" s="815"/>
      <c r="C11" s="815"/>
      <c r="D11" s="815"/>
      <c r="E11" s="815"/>
      <c r="F11" s="815"/>
      <c r="G11" s="816"/>
      <c r="H11" s="816"/>
      <c r="I11" s="816"/>
      <c r="J11" s="816"/>
      <c r="K11" s="816"/>
      <c r="L11" s="1"/>
    </row>
    <row r="12" spans="1:14" ht="20.149999999999999" customHeight="1" x14ac:dyDescent="0.35">
      <c r="A12" s="35" t="s">
        <v>38</v>
      </c>
      <c r="B12" s="815" t="e">
        <f>#REF!</f>
        <v>#REF!</v>
      </c>
      <c r="C12" s="817"/>
      <c r="D12" s="817"/>
      <c r="E12" s="817"/>
      <c r="F12" s="817"/>
      <c r="G12" s="33" t="s">
        <v>39</v>
      </c>
      <c r="H12" s="33"/>
      <c r="I12" s="815" t="e">
        <f>#REF!</f>
        <v>#REF!</v>
      </c>
      <c r="J12" s="817"/>
      <c r="K12" s="817"/>
      <c r="L12" s="1"/>
    </row>
    <row r="13" spans="1:14" ht="20.149999999999999" customHeight="1" x14ac:dyDescent="0.35">
      <c r="A13" s="81" t="s">
        <v>39</v>
      </c>
      <c r="B13" s="921" t="e">
        <f>#REF!</f>
        <v>#REF!</v>
      </c>
      <c r="C13" s="922"/>
      <c r="D13" s="922"/>
      <c r="E13" s="922"/>
      <c r="F13" s="98"/>
      <c r="G13" s="95"/>
      <c r="H13" s="95"/>
      <c r="I13" s="95"/>
      <c r="J13" s="98"/>
      <c r="K13" s="97"/>
      <c r="L13" s="1"/>
    </row>
    <row r="14" spans="1:14" ht="23.15" customHeight="1" x14ac:dyDescent="0.35">
      <c r="A14" s="81" t="s">
        <v>40</v>
      </c>
      <c r="B14" s="818" t="e">
        <f>#REF!</f>
        <v>#REF!</v>
      </c>
      <c r="C14" s="819"/>
      <c r="D14" s="819"/>
      <c r="E14" s="819"/>
      <c r="F14" s="819"/>
      <c r="G14" s="820"/>
      <c r="H14" s="820"/>
      <c r="I14" s="820"/>
      <c r="J14" s="820"/>
      <c r="K14" s="821"/>
      <c r="L14" s="1"/>
    </row>
    <row r="15" spans="1:14" x14ac:dyDescent="0.35">
      <c r="A15" s="25"/>
      <c r="B15" s="918" t="s">
        <v>2</v>
      </c>
      <c r="C15" s="919"/>
      <c r="D15" s="920"/>
      <c r="E15" s="9"/>
      <c r="F15" s="1"/>
      <c r="G15" s="23"/>
      <c r="H15" s="823" t="s">
        <v>41</v>
      </c>
      <c r="I15" s="824"/>
      <c r="J15" s="825"/>
      <c r="K15" s="99"/>
      <c r="L15" s="26"/>
    </row>
    <row r="16" spans="1:14" x14ac:dyDescent="0.35">
      <c r="A16" s="36" t="s">
        <v>42</v>
      </c>
      <c r="B16" s="37" t="s">
        <v>133</v>
      </c>
      <c r="C16" s="3" t="s">
        <v>134</v>
      </c>
      <c r="D16" s="38" t="s">
        <v>135</v>
      </c>
      <c r="E16" s="39" t="s">
        <v>43</v>
      </c>
      <c r="F16" s="1"/>
      <c r="G16" s="23"/>
      <c r="H16" s="812" t="s">
        <v>44</v>
      </c>
      <c r="I16" s="813"/>
      <c r="J16" s="814"/>
      <c r="K16" s="24"/>
      <c r="L16" s="40" t="s">
        <v>43</v>
      </c>
      <c r="M16" s="10" t="s">
        <v>42</v>
      </c>
      <c r="N16" s="10" t="s">
        <v>46</v>
      </c>
    </row>
    <row r="17" spans="1:14" ht="17.149999999999999" customHeight="1" x14ac:dyDescent="0.35">
      <c r="A17" s="42" t="s">
        <v>136</v>
      </c>
      <c r="B17" s="164"/>
      <c r="C17" s="164"/>
      <c r="D17" s="164"/>
      <c r="E17" s="165"/>
      <c r="F17" s="1"/>
      <c r="G17" s="7"/>
      <c r="H17" s="893" t="s">
        <v>48</v>
      </c>
      <c r="I17" s="893"/>
      <c r="J17" s="893"/>
      <c r="K17" s="43">
        <f>SUM(SUM(B19:D19)+SUM(B20:D20))*2</f>
        <v>0</v>
      </c>
      <c r="L17" s="79"/>
      <c r="M17" s="80">
        <f>C7</f>
        <v>195</v>
      </c>
      <c r="N17" s="80">
        <f>(B17+C17+D17)*M17</f>
        <v>0</v>
      </c>
    </row>
    <row r="18" spans="1:14" ht="17.149999999999999" customHeight="1" x14ac:dyDescent="0.35">
      <c r="A18" s="25" t="s">
        <v>137</v>
      </c>
      <c r="B18" s="164"/>
      <c r="C18" s="164"/>
      <c r="D18" s="164"/>
      <c r="E18" s="165"/>
      <c r="F18" s="1"/>
      <c r="G18" s="1"/>
      <c r="H18" s="893" t="s">
        <v>138</v>
      </c>
      <c r="I18" s="893"/>
      <c r="J18" s="893"/>
      <c r="K18" s="43">
        <f>SUM(SUM(B21)*4)+(B25*4)+(B26*4)+(B27*4)</f>
        <v>0</v>
      </c>
      <c r="L18" s="79"/>
      <c r="M18" s="80">
        <f>'iRobe PickSheet'!N10</f>
        <v>66.959999999999994</v>
      </c>
      <c r="N18" s="80">
        <f t="shared" ref="N18:N27" si="0">(B18+C18+D18)*M18</f>
        <v>0</v>
      </c>
    </row>
    <row r="19" spans="1:14" ht="17.149999999999999" customHeight="1" x14ac:dyDescent="0.35">
      <c r="A19" s="25" t="s">
        <v>139</v>
      </c>
      <c r="B19" s="164"/>
      <c r="C19" s="164"/>
      <c r="D19" s="165"/>
      <c r="E19" s="165"/>
      <c r="F19" s="1"/>
      <c r="G19" s="1"/>
      <c r="H19" s="893" t="s">
        <v>52</v>
      </c>
      <c r="I19" s="893"/>
      <c r="J19" s="893"/>
      <c r="K19" s="43">
        <f>SUM(SUM(C21)*4)+(C25*4)+(C26*4)+(C27*4)</f>
        <v>0</v>
      </c>
      <c r="L19" s="79"/>
      <c r="M19" s="80">
        <f>C5</f>
        <v>131.87</v>
      </c>
      <c r="N19" s="80">
        <f t="shared" si="0"/>
        <v>0</v>
      </c>
    </row>
    <row r="20" spans="1:14" ht="17.149999999999999" customHeight="1" x14ac:dyDescent="0.35">
      <c r="A20" s="25" t="s">
        <v>140</v>
      </c>
      <c r="B20" s="164"/>
      <c r="C20" s="164"/>
      <c r="D20" s="165"/>
      <c r="E20" s="165"/>
      <c r="F20" s="1"/>
      <c r="G20" s="1"/>
      <c r="H20" s="893" t="s">
        <v>54</v>
      </c>
      <c r="I20" s="893"/>
      <c r="J20" s="893"/>
      <c r="K20" s="43">
        <f>SUM(SUM(D21)*4)+(D25*4)+(D26*4)+(D27*4)</f>
        <v>0</v>
      </c>
      <c r="L20" s="79"/>
      <c r="M20" s="80">
        <f>C6</f>
        <v>87.54</v>
      </c>
      <c r="N20" s="80">
        <f t="shared" si="0"/>
        <v>0</v>
      </c>
    </row>
    <row r="21" spans="1:14" ht="17.149999999999999" customHeight="1" x14ac:dyDescent="0.35">
      <c r="A21" s="25" t="s">
        <v>141</v>
      </c>
      <c r="B21" s="164"/>
      <c r="C21" s="164"/>
      <c r="D21" s="165"/>
      <c r="E21" s="165"/>
      <c r="F21" s="44" t="s">
        <v>56</v>
      </c>
      <c r="G21" s="44"/>
      <c r="H21" s="893" t="s">
        <v>57</v>
      </c>
      <c r="I21" s="893"/>
      <c r="J21" s="893"/>
      <c r="K21" s="43">
        <f>SUM(SUM(B21:D27)*4)</f>
        <v>0</v>
      </c>
      <c r="L21" s="79"/>
      <c r="M21" s="80">
        <f>C8</f>
        <v>42.49</v>
      </c>
      <c r="N21" s="80">
        <f t="shared" si="0"/>
        <v>0</v>
      </c>
    </row>
    <row r="22" spans="1:14" ht="17.149999999999999" customHeight="1" x14ac:dyDescent="0.35">
      <c r="A22" s="25" t="str">
        <f>'Cabinet System'!A33</f>
        <v>3 Drawer 700</v>
      </c>
      <c r="B22" s="164"/>
      <c r="C22" s="164"/>
      <c r="D22" s="165"/>
      <c r="E22" s="165"/>
      <c r="F22" s="166"/>
      <c r="G22" s="166"/>
      <c r="H22" s="893" t="s">
        <v>59</v>
      </c>
      <c r="I22" s="893"/>
      <c r="J22" s="893"/>
      <c r="K22" s="43"/>
      <c r="L22" s="79"/>
      <c r="M22" s="80">
        <v>485</v>
      </c>
      <c r="N22" s="80">
        <f t="shared" si="0"/>
        <v>0</v>
      </c>
    </row>
    <row r="23" spans="1:14" ht="17.149999999999999" customHeight="1" x14ac:dyDescent="0.35">
      <c r="A23" s="25" t="s">
        <v>142</v>
      </c>
      <c r="B23" s="164"/>
      <c r="C23" s="164"/>
      <c r="D23" s="165"/>
      <c r="E23" s="165"/>
      <c r="F23" s="1"/>
      <c r="G23" s="1"/>
      <c r="H23" s="893" t="s">
        <v>61</v>
      </c>
      <c r="I23" s="893"/>
      <c r="J23" s="893"/>
      <c r="K23" s="43"/>
      <c r="L23" s="79"/>
      <c r="M23" s="80">
        <f>'Cabinet System'!D28</f>
        <v>22</v>
      </c>
      <c r="N23" s="80">
        <f t="shared" si="0"/>
        <v>0</v>
      </c>
    </row>
    <row r="24" spans="1:14" ht="17.149999999999999" customHeight="1" x14ac:dyDescent="0.35">
      <c r="A24" s="1" t="str">
        <f>'Cabinet System'!A29</f>
        <v>Designer Black Hang Bar</v>
      </c>
      <c r="B24" s="26"/>
      <c r="C24" s="26"/>
      <c r="D24" s="26"/>
      <c r="E24" s="26"/>
      <c r="F24" s="1"/>
      <c r="G24" s="1"/>
      <c r="H24" s="893"/>
      <c r="I24" s="893"/>
      <c r="J24" s="893"/>
      <c r="K24" s="26"/>
      <c r="L24" s="1"/>
      <c r="M24" s="80">
        <f>'Cabinet System'!D29</f>
        <v>55</v>
      </c>
      <c r="N24" s="80">
        <f t="shared" si="0"/>
        <v>0</v>
      </c>
    </row>
    <row r="25" spans="1:14" ht="17.149999999999999" customHeight="1" x14ac:dyDescent="0.35">
      <c r="A25" s="25" t="s">
        <v>143</v>
      </c>
      <c r="B25" s="164"/>
      <c r="C25" s="164"/>
      <c r="D25" s="165"/>
      <c r="E25" s="165"/>
      <c r="F25" s="1"/>
      <c r="G25" s="1"/>
      <c r="H25" s="893"/>
      <c r="I25" s="893"/>
      <c r="J25" s="893"/>
      <c r="K25" s="43"/>
      <c r="L25" s="19"/>
      <c r="M25" s="80">
        <f>'iRobe PickSheet'!N20</f>
        <v>32.49</v>
      </c>
      <c r="N25" s="80">
        <f t="shared" si="0"/>
        <v>0</v>
      </c>
    </row>
    <row r="26" spans="1:14" ht="17.149999999999999" customHeight="1" x14ac:dyDescent="0.35">
      <c r="A26" s="25" t="s">
        <v>144</v>
      </c>
      <c r="B26" s="164"/>
      <c r="C26" s="164"/>
      <c r="D26" s="165"/>
      <c r="E26" s="165"/>
      <c r="F26" s="1"/>
      <c r="G26" s="1"/>
      <c r="K26" s="43"/>
      <c r="L26" s="19"/>
      <c r="M26" s="80">
        <f>'iRobe PickSheet'!N21</f>
        <v>25</v>
      </c>
      <c r="N26" s="80">
        <f t="shared" si="0"/>
        <v>0</v>
      </c>
    </row>
    <row r="27" spans="1:14" ht="17.149999999999999" customHeight="1" x14ac:dyDescent="0.35">
      <c r="A27" s="25" t="s">
        <v>145</v>
      </c>
      <c r="B27" s="164"/>
      <c r="C27" s="164"/>
      <c r="D27" s="165"/>
      <c r="E27" s="165"/>
      <c r="F27" s="1"/>
      <c r="G27" s="1"/>
      <c r="H27" s="893"/>
      <c r="I27" s="893"/>
      <c r="J27" s="893"/>
      <c r="K27" s="43"/>
      <c r="L27" s="19"/>
      <c r="M27" s="80">
        <f>'iRobe PickSheet'!N18</f>
        <v>71.040000000000006</v>
      </c>
      <c r="N27" s="80">
        <f t="shared" si="0"/>
        <v>0</v>
      </c>
    </row>
    <row r="28" spans="1:14" ht="15.5" x14ac:dyDescent="0.35">
      <c r="A28" s="46" t="s">
        <v>79</v>
      </c>
      <c r="B28" s="2"/>
      <c r="C28" s="17"/>
      <c r="D28" s="2"/>
      <c r="E28" s="2"/>
      <c r="F28" s="2"/>
      <c r="G28" s="2"/>
      <c r="H28" s="2"/>
      <c r="I28" s="1"/>
      <c r="J28" s="1"/>
      <c r="K28" s="1"/>
      <c r="L28" s="1"/>
    </row>
    <row r="29" spans="1:14" x14ac:dyDescent="0.35">
      <c r="A29" s="41" t="s">
        <v>80</v>
      </c>
      <c r="B29" s="28">
        <f>N29</f>
        <v>0</v>
      </c>
      <c r="C29" s="17"/>
      <c r="D29" s="2"/>
      <c r="E29" s="2"/>
      <c r="F29" s="2"/>
      <c r="G29" s="2"/>
      <c r="H29" s="2"/>
      <c r="I29" s="1"/>
      <c r="J29" s="1"/>
      <c r="K29" s="1"/>
      <c r="L29" s="1"/>
      <c r="M29" s="10" t="s">
        <v>46</v>
      </c>
      <c r="N29" s="167">
        <f>SUM(N17:N27)</f>
        <v>0</v>
      </c>
    </row>
    <row r="30" spans="1:14" x14ac:dyDescent="0.35">
      <c r="A30" s="41" t="s">
        <v>81</v>
      </c>
      <c r="B30" s="29"/>
      <c r="C30" s="17"/>
      <c r="D30" s="2"/>
      <c r="E30" s="2"/>
      <c r="F30" s="2"/>
      <c r="G30" s="2"/>
      <c r="H30" s="2"/>
      <c r="I30" s="1"/>
      <c r="J30" s="1"/>
      <c r="K30" s="1"/>
      <c r="L30" s="1"/>
    </row>
    <row r="31" spans="1:14" x14ac:dyDescent="0.35">
      <c r="A31" s="41" t="s">
        <v>82</v>
      </c>
      <c r="B31" s="28">
        <f>SUM(B29:B30)</f>
        <v>0</v>
      </c>
      <c r="C31" s="17"/>
      <c r="D31" s="2"/>
      <c r="E31" s="2"/>
      <c r="F31" s="2"/>
      <c r="G31" s="2"/>
      <c r="H31" s="2"/>
      <c r="I31" s="1"/>
      <c r="J31" s="1"/>
      <c r="K31" s="1"/>
      <c r="L31" s="1"/>
      <c r="N31" s="30">
        <f>N29</f>
        <v>0</v>
      </c>
    </row>
    <row r="32" spans="1:14" x14ac:dyDescent="0.35">
      <c r="A32" s="12" t="s">
        <v>83</v>
      </c>
      <c r="B32" s="2"/>
      <c r="C32" s="2"/>
      <c r="D32" s="2"/>
      <c r="E32" s="2"/>
      <c r="F32" s="2"/>
      <c r="G32" s="2"/>
      <c r="H32" s="2"/>
      <c r="I32" s="1"/>
      <c r="J32" s="1"/>
      <c r="K32" s="1"/>
      <c r="L32" s="1"/>
    </row>
  </sheetData>
  <mergeCells count="18">
    <mergeCell ref="H23:J23"/>
    <mergeCell ref="H27:J27"/>
    <mergeCell ref="H16:J16"/>
    <mergeCell ref="H17:J17"/>
    <mergeCell ref="H18:J18"/>
    <mergeCell ref="H19:J19"/>
    <mergeCell ref="H20:J20"/>
    <mergeCell ref="H21:J21"/>
    <mergeCell ref="H22:J22"/>
    <mergeCell ref="H24:J24"/>
    <mergeCell ref="H25:J25"/>
    <mergeCell ref="B11:K11"/>
    <mergeCell ref="B12:F12"/>
    <mergeCell ref="I12:K12"/>
    <mergeCell ref="B14:K14"/>
    <mergeCell ref="B15:D15"/>
    <mergeCell ref="H15:J15"/>
    <mergeCell ref="B13:E1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2FDF-FD72-484B-90A4-FA5F499C148E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F0"/>
  </sheetPr>
  <dimension ref="A1:F72"/>
  <sheetViews>
    <sheetView topLeftCell="A38" zoomScale="130" zoomScaleNormal="130" workbookViewId="0">
      <selection activeCell="G65" sqref="G65"/>
    </sheetView>
  </sheetViews>
  <sheetFormatPr defaultColWidth="9.1796875" defaultRowHeight="12.75" customHeight="1" x14ac:dyDescent="0.3"/>
  <cols>
    <col min="1" max="1" width="21" style="1" customWidth="1"/>
    <col min="2" max="2" width="12.1796875" style="1" customWidth="1"/>
    <col min="3" max="3" width="8.54296875" style="1" customWidth="1"/>
    <col min="4" max="6" width="9.1796875" style="1" customWidth="1"/>
    <col min="7" max="16384" width="9.1796875" style="1"/>
  </cols>
  <sheetData>
    <row r="1" spans="1:6" ht="59.25" customHeight="1" x14ac:dyDescent="0.45">
      <c r="A1" s="155" t="s">
        <v>146</v>
      </c>
      <c r="B1" s="155"/>
      <c r="C1" s="155"/>
      <c r="D1" s="156"/>
      <c r="E1" s="156"/>
      <c r="F1" s="156"/>
    </row>
    <row r="2" spans="1:6" ht="17.149999999999999" customHeight="1" x14ac:dyDescent="0.3">
      <c r="A2" s="32" t="s">
        <v>147</v>
      </c>
    </row>
    <row r="3" spans="1:6" ht="17.149999999999999" customHeight="1" x14ac:dyDescent="0.3">
      <c r="A3" s="213" t="s">
        <v>37</v>
      </c>
      <c r="B3" s="213"/>
      <c r="C3" s="213"/>
      <c r="D3" s="211"/>
      <c r="E3" s="211"/>
    </row>
    <row r="4" spans="1:6" ht="17.149999999999999" customHeight="1" x14ac:dyDescent="0.3">
      <c r="A4" s="213" t="s">
        <v>38</v>
      </c>
      <c r="B4" s="927"/>
      <c r="C4" s="928"/>
      <c r="D4" s="923"/>
      <c r="E4" s="923"/>
    </row>
    <row r="5" spans="1:6" ht="17.149999999999999" customHeight="1" x14ac:dyDescent="0.3">
      <c r="A5" s="213" t="s">
        <v>148</v>
      </c>
      <c r="B5" s="213" t="e">
        <f>#REF!</f>
        <v>#REF!</v>
      </c>
      <c r="C5" s="214"/>
      <c r="D5" s="215"/>
      <c r="E5" s="215"/>
    </row>
    <row r="6" spans="1:6" ht="17.149999999999999" customHeight="1" x14ac:dyDescent="0.3">
      <c r="A6" s="213" t="s">
        <v>40</v>
      </c>
      <c r="B6" s="216"/>
      <c r="C6" s="216"/>
      <c r="D6" s="923" t="s">
        <v>80</v>
      </c>
      <c r="E6" s="923"/>
    </row>
    <row r="7" spans="1:6" ht="15" customHeight="1" x14ac:dyDescent="0.3">
      <c r="A7" s="211"/>
      <c r="B7" s="212"/>
      <c r="C7" s="217" t="s">
        <v>43</v>
      </c>
      <c r="D7" s="218" t="s">
        <v>149</v>
      </c>
      <c r="E7" s="218" t="s">
        <v>150</v>
      </c>
    </row>
    <row r="8" spans="1:6" ht="15" customHeight="1" x14ac:dyDescent="0.35">
      <c r="A8" s="219" t="s">
        <v>42</v>
      </c>
      <c r="B8" s="220" t="s">
        <v>133</v>
      </c>
      <c r="C8" s="211"/>
      <c r="D8" s="211"/>
      <c r="E8" s="211"/>
    </row>
    <row r="9" spans="1:6" ht="15" customHeight="1" x14ac:dyDescent="0.3">
      <c r="A9" s="230" t="s">
        <v>151</v>
      </c>
      <c r="B9" s="231"/>
      <c r="C9" s="211"/>
      <c r="D9" s="211"/>
      <c r="E9" s="211"/>
    </row>
    <row r="10" spans="1:6" ht="15" customHeight="1" x14ac:dyDescent="0.3">
      <c r="A10" s="230" t="s">
        <v>152</v>
      </c>
      <c r="B10" s="231"/>
      <c r="C10" s="211"/>
      <c r="D10" s="211"/>
      <c r="E10" s="211"/>
    </row>
    <row r="11" spans="1:6" ht="15" customHeight="1" x14ac:dyDescent="0.3">
      <c r="A11" s="230" t="s">
        <v>153</v>
      </c>
      <c r="B11" s="231"/>
      <c r="C11" s="211"/>
      <c r="D11" s="211"/>
      <c r="E11" s="221"/>
    </row>
    <row r="12" spans="1:6" ht="15" customHeight="1" x14ac:dyDescent="0.3">
      <c r="A12" s="230" t="s">
        <v>154</v>
      </c>
      <c r="B12" s="231"/>
      <c r="C12" s="211"/>
      <c r="D12" s="222">
        <v>381</v>
      </c>
      <c r="E12" s="221">
        <f>(B12)*D12</f>
        <v>0</v>
      </c>
    </row>
    <row r="13" spans="1:6" ht="15" customHeight="1" x14ac:dyDescent="0.3">
      <c r="A13" s="230" t="s">
        <v>631</v>
      </c>
      <c r="B13" s="231"/>
      <c r="C13" s="211"/>
      <c r="D13" s="222">
        <v>370</v>
      </c>
      <c r="E13" s="221">
        <f>(B13)*D13</f>
        <v>0</v>
      </c>
    </row>
    <row r="14" spans="1:6" ht="15" customHeight="1" x14ac:dyDescent="0.3">
      <c r="A14" s="230" t="s">
        <v>155</v>
      </c>
      <c r="B14" s="231"/>
      <c r="C14" s="211"/>
      <c r="D14" s="222">
        <v>360</v>
      </c>
      <c r="E14" s="221">
        <f t="shared" ref="E14:E38" si="0">(B14)*D14</f>
        <v>0</v>
      </c>
    </row>
    <row r="15" spans="1:6" ht="15" customHeight="1" x14ac:dyDescent="0.3">
      <c r="A15" s="230" t="s">
        <v>156</v>
      </c>
      <c r="B15" s="232"/>
      <c r="C15" s="211"/>
      <c r="D15" s="222">
        <v>349</v>
      </c>
      <c r="E15" s="221">
        <f t="shared" si="0"/>
        <v>0</v>
      </c>
    </row>
    <row r="16" spans="1:6" ht="15" customHeight="1" x14ac:dyDescent="0.3">
      <c r="A16" s="230" t="s">
        <v>157</v>
      </c>
      <c r="B16" s="232"/>
      <c r="C16" s="211"/>
      <c r="D16" s="222">
        <v>338</v>
      </c>
      <c r="E16" s="221">
        <f t="shared" si="0"/>
        <v>0</v>
      </c>
    </row>
    <row r="17" spans="1:5" ht="15" customHeight="1" x14ac:dyDescent="0.3">
      <c r="A17" s="230" t="s">
        <v>158</v>
      </c>
      <c r="B17" s="232"/>
      <c r="C17" s="211"/>
      <c r="D17" s="222">
        <v>322</v>
      </c>
      <c r="E17" s="221">
        <f t="shared" si="0"/>
        <v>0</v>
      </c>
    </row>
    <row r="18" spans="1:5" ht="15" customHeight="1" x14ac:dyDescent="0.3">
      <c r="A18" s="230" t="s">
        <v>159</v>
      </c>
      <c r="B18" s="232"/>
      <c r="C18" s="211"/>
      <c r="D18" s="222">
        <v>316</v>
      </c>
      <c r="E18" s="221">
        <f t="shared" si="0"/>
        <v>0</v>
      </c>
    </row>
    <row r="19" spans="1:5" ht="15" customHeight="1" x14ac:dyDescent="0.3">
      <c r="A19" s="230" t="s">
        <v>160</v>
      </c>
      <c r="B19" s="232"/>
      <c r="C19" s="211"/>
      <c r="D19" s="222">
        <v>123</v>
      </c>
      <c r="E19" s="221">
        <f t="shared" si="0"/>
        <v>0</v>
      </c>
    </row>
    <row r="20" spans="1:5" ht="15" customHeight="1" x14ac:dyDescent="0.3">
      <c r="A20" s="230" t="s">
        <v>161</v>
      </c>
      <c r="B20" s="232"/>
      <c r="C20" s="211"/>
      <c r="D20" s="222">
        <v>123</v>
      </c>
      <c r="E20" s="221">
        <f t="shared" si="0"/>
        <v>0</v>
      </c>
    </row>
    <row r="21" spans="1:5" ht="15" customHeight="1" x14ac:dyDescent="0.3">
      <c r="A21" s="230" t="s">
        <v>162</v>
      </c>
      <c r="B21" s="232"/>
      <c r="C21" s="211"/>
      <c r="D21" s="222">
        <v>53</v>
      </c>
      <c r="E21" s="221">
        <f t="shared" si="0"/>
        <v>0</v>
      </c>
    </row>
    <row r="22" spans="1:5" ht="15" customHeight="1" x14ac:dyDescent="0.3">
      <c r="A22" s="230" t="s">
        <v>632</v>
      </c>
      <c r="B22" s="232"/>
      <c r="C22" s="211"/>
      <c r="D22" s="222">
        <v>48</v>
      </c>
      <c r="E22" s="221">
        <f t="shared" ref="E22" si="1">(B22)*D22</f>
        <v>0</v>
      </c>
    </row>
    <row r="23" spans="1:5" ht="15" customHeight="1" x14ac:dyDescent="0.3">
      <c r="A23" s="230" t="s">
        <v>163</v>
      </c>
      <c r="B23" s="232"/>
      <c r="C23" s="211"/>
      <c r="D23" s="222">
        <v>43</v>
      </c>
      <c r="E23" s="221">
        <f t="shared" si="0"/>
        <v>0</v>
      </c>
    </row>
    <row r="24" spans="1:5" ht="15" customHeight="1" x14ac:dyDescent="0.3">
      <c r="A24" s="230" t="s">
        <v>164</v>
      </c>
      <c r="B24" s="232"/>
      <c r="C24" s="211"/>
      <c r="D24" s="223">
        <v>36</v>
      </c>
      <c r="E24" s="221">
        <f t="shared" si="0"/>
        <v>0</v>
      </c>
    </row>
    <row r="25" spans="1:5" ht="15" customHeight="1" x14ac:dyDescent="0.3">
      <c r="A25" s="230" t="s">
        <v>165</v>
      </c>
      <c r="B25" s="232"/>
      <c r="C25" s="211"/>
      <c r="D25" s="222">
        <v>33</v>
      </c>
      <c r="E25" s="221">
        <f t="shared" si="0"/>
        <v>0</v>
      </c>
    </row>
    <row r="26" spans="1:5" ht="15" customHeight="1" x14ac:dyDescent="0.3">
      <c r="A26" s="230" t="s">
        <v>166</v>
      </c>
      <c r="B26" s="232"/>
      <c r="C26" s="211"/>
      <c r="D26" s="222">
        <v>26</v>
      </c>
      <c r="E26" s="221">
        <f t="shared" si="0"/>
        <v>0</v>
      </c>
    </row>
    <row r="27" spans="1:5" ht="15" customHeight="1" x14ac:dyDescent="0.3">
      <c r="A27" s="230" t="s">
        <v>167</v>
      </c>
      <c r="B27" s="232"/>
      <c r="C27" s="211"/>
      <c r="D27" s="222">
        <v>23</v>
      </c>
      <c r="E27" s="221">
        <f t="shared" si="0"/>
        <v>0</v>
      </c>
    </row>
    <row r="28" spans="1:5" ht="15" customHeight="1" x14ac:dyDescent="0.3">
      <c r="A28" s="230" t="s">
        <v>168</v>
      </c>
      <c r="B28" s="232"/>
      <c r="C28" s="211"/>
      <c r="D28" s="222">
        <v>22</v>
      </c>
      <c r="E28" s="221">
        <f t="shared" si="0"/>
        <v>0</v>
      </c>
    </row>
    <row r="29" spans="1:5" ht="15" customHeight="1" x14ac:dyDescent="0.3">
      <c r="A29" s="230" t="s">
        <v>169</v>
      </c>
      <c r="B29" s="232"/>
      <c r="C29" s="211"/>
      <c r="D29" s="222">
        <v>55</v>
      </c>
      <c r="E29" s="221">
        <f t="shared" si="0"/>
        <v>0</v>
      </c>
    </row>
    <row r="30" spans="1:5" ht="15" customHeight="1" x14ac:dyDescent="0.3">
      <c r="A30" s="230" t="s">
        <v>170</v>
      </c>
      <c r="B30" s="232"/>
      <c r="C30" s="211"/>
      <c r="D30" s="222">
        <v>82</v>
      </c>
      <c r="E30" s="221">
        <f t="shared" si="0"/>
        <v>0</v>
      </c>
    </row>
    <row r="31" spans="1:5" ht="15" customHeight="1" x14ac:dyDescent="0.3">
      <c r="A31" s="230" t="s">
        <v>171</v>
      </c>
      <c r="B31" s="232"/>
      <c r="C31" s="211"/>
      <c r="D31" s="222">
        <v>24</v>
      </c>
      <c r="E31" s="221">
        <f t="shared" si="0"/>
        <v>0</v>
      </c>
    </row>
    <row r="32" spans="1:5" ht="15" customHeight="1" x14ac:dyDescent="0.3">
      <c r="A32" s="230" t="s">
        <v>172</v>
      </c>
      <c r="B32" s="232"/>
      <c r="C32" s="211"/>
      <c r="D32" s="222">
        <v>127</v>
      </c>
      <c r="E32" s="221">
        <f t="shared" si="0"/>
        <v>0</v>
      </c>
    </row>
    <row r="33" spans="1:5" ht="15" customHeight="1" x14ac:dyDescent="0.3">
      <c r="A33" s="230" t="s">
        <v>173</v>
      </c>
      <c r="B33" s="232"/>
      <c r="C33" s="211"/>
      <c r="D33" s="222">
        <v>485</v>
      </c>
      <c r="E33" s="221">
        <f t="shared" si="0"/>
        <v>0</v>
      </c>
    </row>
    <row r="34" spans="1:5" ht="15" customHeight="1" x14ac:dyDescent="0.3">
      <c r="A34" s="230" t="s">
        <v>174</v>
      </c>
      <c r="B34" s="232"/>
      <c r="C34" s="211"/>
      <c r="D34" s="222">
        <v>670</v>
      </c>
      <c r="E34" s="221">
        <f t="shared" si="0"/>
        <v>0</v>
      </c>
    </row>
    <row r="35" spans="1:5" ht="15" customHeight="1" x14ac:dyDescent="0.3">
      <c r="A35" s="230" t="s">
        <v>175</v>
      </c>
      <c r="B35" s="232"/>
      <c r="C35" s="211"/>
      <c r="D35" s="222">
        <v>762</v>
      </c>
      <c r="E35" s="221">
        <f t="shared" si="0"/>
        <v>0</v>
      </c>
    </row>
    <row r="36" spans="1:5" ht="15" customHeight="1" x14ac:dyDescent="0.3">
      <c r="A36" s="230" t="s">
        <v>176</v>
      </c>
      <c r="B36" s="232"/>
      <c r="C36" s="211"/>
      <c r="D36" s="222">
        <v>818</v>
      </c>
      <c r="E36" s="221">
        <f t="shared" si="0"/>
        <v>0</v>
      </c>
    </row>
    <row r="37" spans="1:5" ht="15" customHeight="1" x14ac:dyDescent="0.3">
      <c r="A37" s="230" t="s">
        <v>177</v>
      </c>
      <c r="B37" s="232"/>
      <c r="C37" s="211"/>
      <c r="D37" s="222">
        <v>19.9985</v>
      </c>
      <c r="E37" s="221">
        <f t="shared" si="0"/>
        <v>0</v>
      </c>
    </row>
    <row r="38" spans="1:5" ht="15" customHeight="1" x14ac:dyDescent="0.3">
      <c r="A38" s="230" t="s">
        <v>178</v>
      </c>
      <c r="B38" s="232"/>
      <c r="C38" s="211"/>
      <c r="D38" s="222">
        <v>75.003603749999996</v>
      </c>
      <c r="E38" s="221">
        <f t="shared" si="0"/>
        <v>0</v>
      </c>
    </row>
    <row r="39" spans="1:5" ht="15" customHeight="1" x14ac:dyDescent="0.3">
      <c r="A39" s="224"/>
      <c r="B39" s="224"/>
      <c r="C39" s="211"/>
      <c r="D39" s="225" t="s">
        <v>46</v>
      </c>
      <c r="E39" s="226">
        <f>SUM(E12:E38)</f>
        <v>0</v>
      </c>
    </row>
    <row r="40" spans="1:5" ht="15" customHeight="1" x14ac:dyDescent="0.3">
      <c r="A40" s="2"/>
      <c r="B40" s="2"/>
    </row>
    <row r="41" spans="1:5" ht="15" customHeight="1" x14ac:dyDescent="0.3">
      <c r="A41" s="2"/>
      <c r="B41" s="2"/>
    </row>
    <row r="42" spans="1:5" ht="15" customHeight="1" x14ac:dyDescent="0.3">
      <c r="A42" s="2"/>
      <c r="B42" s="2"/>
    </row>
    <row r="43" spans="1:5" ht="13" x14ac:dyDescent="0.3"/>
    <row r="47" spans="1:5" ht="12.75" customHeight="1" x14ac:dyDescent="0.3">
      <c r="A47" s="925" t="s">
        <v>41</v>
      </c>
      <c r="B47" s="925"/>
      <c r="C47" s="926" t="s">
        <v>43</v>
      </c>
    </row>
    <row r="48" spans="1:5" ht="12.75" customHeight="1" x14ac:dyDescent="0.3">
      <c r="A48" s="924" t="s">
        <v>44</v>
      </c>
      <c r="B48" s="924"/>
      <c r="C48" s="926"/>
    </row>
    <row r="49" spans="1:3" ht="12.75" customHeight="1" x14ac:dyDescent="0.3">
      <c r="A49" s="211" t="s">
        <v>179</v>
      </c>
      <c r="B49" s="227">
        <f>(B12+B14+B15+B16+B17+B18+B13)*20</f>
        <v>0</v>
      </c>
      <c r="C49" s="228"/>
    </row>
    <row r="50" spans="1:3" ht="12.75" customHeight="1" x14ac:dyDescent="0.3">
      <c r="A50" s="211" t="s">
        <v>180</v>
      </c>
      <c r="B50" s="227">
        <f>(B12+B14+B15+B16+B17+B18+B13)*20</f>
        <v>0</v>
      </c>
      <c r="C50" s="228"/>
    </row>
    <row r="51" spans="1:3" ht="12.75" customHeight="1" x14ac:dyDescent="0.3">
      <c r="A51" s="211" t="s">
        <v>181</v>
      </c>
      <c r="B51" s="227">
        <f>(B12+B14+B15+B16+B17+B18+B13)*20</f>
        <v>0</v>
      </c>
      <c r="C51" s="228"/>
    </row>
    <row r="52" spans="1:3" ht="12.75" customHeight="1" x14ac:dyDescent="0.3">
      <c r="A52" s="211" t="s">
        <v>182</v>
      </c>
      <c r="B52" s="227">
        <f>(B21+B23+B24+B25+B26+B27+B22)*4</f>
        <v>0</v>
      </c>
      <c r="C52" s="228"/>
    </row>
    <row r="53" spans="1:3" ht="12.75" customHeight="1" x14ac:dyDescent="0.3">
      <c r="A53" s="211" t="s">
        <v>183</v>
      </c>
      <c r="B53" s="227">
        <f>(B21+B23+B24+B25+B26+B27+B22)*4</f>
        <v>0</v>
      </c>
      <c r="C53" s="228"/>
    </row>
    <row r="54" spans="1:3" ht="12.75" customHeight="1" x14ac:dyDescent="0.3">
      <c r="A54" s="224" t="s">
        <v>184</v>
      </c>
      <c r="B54" s="227">
        <f>B28*2</f>
        <v>0</v>
      </c>
      <c r="C54" s="224"/>
    </row>
    <row r="55" spans="1:3" ht="12.75" customHeight="1" x14ac:dyDescent="0.3">
      <c r="A55" s="224" t="s">
        <v>185</v>
      </c>
      <c r="B55" s="227">
        <f>B28*4</f>
        <v>0</v>
      </c>
      <c r="C55" s="224"/>
    </row>
    <row r="56" spans="1:3" ht="12.75" customHeight="1" x14ac:dyDescent="0.3">
      <c r="A56" s="224" t="s">
        <v>186</v>
      </c>
      <c r="B56" s="227">
        <f>(B12+B14+B15+B16+B17+B18)*8</f>
        <v>0</v>
      </c>
      <c r="C56" s="224"/>
    </row>
    <row r="57" spans="1:3" ht="12.75" customHeight="1" x14ac:dyDescent="0.3">
      <c r="A57" s="224" t="s">
        <v>187</v>
      </c>
      <c r="B57" s="227">
        <f>B38*4</f>
        <v>0</v>
      </c>
      <c r="C57" s="211"/>
    </row>
    <row r="58" spans="1:3" ht="12.75" customHeight="1" x14ac:dyDescent="0.3">
      <c r="A58" s="211" t="s">
        <v>74</v>
      </c>
      <c r="B58" s="227">
        <v>1</v>
      </c>
      <c r="C58" s="211"/>
    </row>
    <row r="59" spans="1:3" ht="12.75" customHeight="1" x14ac:dyDescent="0.3">
      <c r="A59" s="211"/>
      <c r="B59" s="211"/>
      <c r="C59" s="211"/>
    </row>
    <row r="60" spans="1:3" ht="12.75" customHeight="1" x14ac:dyDescent="0.3">
      <c r="A60" s="211"/>
      <c r="B60" s="211"/>
      <c r="C60" s="211"/>
    </row>
    <row r="61" spans="1:3" ht="12.75" customHeight="1" x14ac:dyDescent="0.3">
      <c r="A61" s="211" t="s">
        <v>42</v>
      </c>
      <c r="B61" s="211" t="s">
        <v>188</v>
      </c>
      <c r="C61" s="229" t="s">
        <v>189</v>
      </c>
    </row>
    <row r="62" spans="1:3" ht="12.75" customHeight="1" x14ac:dyDescent="0.3">
      <c r="A62" s="211" t="s">
        <v>154</v>
      </c>
      <c r="B62" s="211">
        <v>735</v>
      </c>
      <c r="C62" s="233">
        <f t="shared" ref="C62:C68" si="2">B12</f>
        <v>0</v>
      </c>
    </row>
    <row r="63" spans="1:3" ht="12.75" customHeight="1" x14ac:dyDescent="0.3">
      <c r="A63" s="211" t="s">
        <v>631</v>
      </c>
      <c r="B63" s="211">
        <v>635</v>
      </c>
      <c r="C63" s="233">
        <f t="shared" si="2"/>
        <v>0</v>
      </c>
    </row>
    <row r="64" spans="1:3" ht="12.75" customHeight="1" x14ac:dyDescent="0.3">
      <c r="A64" s="211" t="s">
        <v>155</v>
      </c>
      <c r="B64" s="211">
        <v>535</v>
      </c>
      <c r="C64" s="233">
        <f t="shared" si="2"/>
        <v>0</v>
      </c>
    </row>
    <row r="65" spans="1:3" ht="12.75" customHeight="1" x14ac:dyDescent="0.3">
      <c r="A65" s="211" t="s">
        <v>156</v>
      </c>
      <c r="B65" s="211">
        <v>435</v>
      </c>
      <c r="C65" s="233">
        <f t="shared" si="2"/>
        <v>0</v>
      </c>
    </row>
    <row r="66" spans="1:3" ht="12.75" customHeight="1" x14ac:dyDescent="0.3">
      <c r="A66" s="211" t="s">
        <v>157</v>
      </c>
      <c r="B66" s="211">
        <v>335</v>
      </c>
      <c r="C66" s="233">
        <f t="shared" si="2"/>
        <v>0</v>
      </c>
    </row>
    <row r="67" spans="1:3" ht="12.75" customHeight="1" x14ac:dyDescent="0.3">
      <c r="A67" s="211" t="s">
        <v>158</v>
      </c>
      <c r="B67" s="211">
        <v>235</v>
      </c>
      <c r="C67" s="233">
        <f t="shared" si="2"/>
        <v>0</v>
      </c>
    </row>
    <row r="68" spans="1:3" ht="12.75" customHeight="1" x14ac:dyDescent="0.3">
      <c r="A68" s="211" t="s">
        <v>159</v>
      </c>
      <c r="B68" s="211">
        <v>185</v>
      </c>
      <c r="C68" s="233">
        <f t="shared" si="2"/>
        <v>0</v>
      </c>
    </row>
    <row r="69" spans="1:3" ht="12.75" customHeight="1" x14ac:dyDescent="0.3">
      <c r="A69" s="211" t="s">
        <v>190</v>
      </c>
      <c r="B69" s="211"/>
      <c r="C69" s="233">
        <f>C62+C64+C65+C66+C67+C68+C63</f>
        <v>0</v>
      </c>
    </row>
    <row r="70" spans="1:3" ht="12.75" customHeight="1" x14ac:dyDescent="0.3">
      <c r="A70" s="211"/>
      <c r="B70" s="211"/>
      <c r="C70" s="211"/>
    </row>
    <row r="71" spans="1:3" ht="12.75" customHeight="1" x14ac:dyDescent="0.3">
      <c r="A71" s="10" t="s">
        <v>191</v>
      </c>
    </row>
    <row r="72" spans="1:3" ht="12.75" customHeight="1" x14ac:dyDescent="0.3">
      <c r="A72" s="1" t="s">
        <v>80</v>
      </c>
      <c r="C72" s="746">
        <f>E39</f>
        <v>0</v>
      </c>
    </row>
  </sheetData>
  <sheetProtection selectLockedCells="1"/>
  <mergeCells count="6">
    <mergeCell ref="D4:E4"/>
    <mergeCell ref="D6:E6"/>
    <mergeCell ref="A48:B48"/>
    <mergeCell ref="A47:B47"/>
    <mergeCell ref="C47:C48"/>
    <mergeCell ref="B4:C4"/>
  </mergeCells>
  <phoneticPr fontId="32" type="noConversion"/>
  <pageMargins left="0.25" right="0.25" top="0.75" bottom="0.75" header="0.3" footer="0.3"/>
  <pageSetup paperSize="9" scale="9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B0F0"/>
  </sheetPr>
  <dimension ref="A1:AB30"/>
  <sheetViews>
    <sheetView workbookViewId="0">
      <selection activeCell="H27" sqref="H27"/>
    </sheetView>
  </sheetViews>
  <sheetFormatPr defaultColWidth="9.1796875" defaultRowHeight="13" x14ac:dyDescent="0.3"/>
  <cols>
    <col min="1" max="1" width="11.81640625" style="1" customWidth="1"/>
    <col min="2" max="2" width="9.54296875" style="8" customWidth="1"/>
    <col min="3" max="5" width="9.1796875" style="8" customWidth="1"/>
    <col min="6" max="6" width="7.81640625" style="8" customWidth="1"/>
    <col min="7" max="7" width="9.1796875" style="8" customWidth="1"/>
    <col min="8" max="8" width="7.1796875" style="1" customWidth="1"/>
    <col min="9" max="9" width="9.1796875" style="1"/>
    <col min="10" max="10" width="9.1796875" style="60" customWidth="1"/>
    <col min="11" max="19" width="9.1796875" style="1"/>
    <col min="20" max="20" width="29" style="1" customWidth="1"/>
    <col min="21" max="21" width="17.453125" style="1" customWidth="1"/>
    <col min="22" max="22" width="13.453125" style="1" customWidth="1"/>
    <col min="23" max="23" width="16.26953125" style="1" customWidth="1"/>
    <col min="24" max="24" width="16" style="1" customWidth="1"/>
    <col min="25" max="25" width="14.54296875" style="1" customWidth="1"/>
    <col min="26" max="26" width="13.26953125" style="1" customWidth="1"/>
    <col min="27" max="27" width="17.54296875" style="1" customWidth="1"/>
    <col min="28" max="28" width="17" style="1" customWidth="1"/>
    <col min="29" max="29" width="15.1796875" style="1" customWidth="1"/>
    <col min="30" max="16384" width="9.1796875" style="1"/>
  </cols>
  <sheetData>
    <row r="1" spans="1:28" ht="54" customHeight="1" x14ac:dyDescent="0.45">
      <c r="A1" s="155" t="s">
        <v>192</v>
      </c>
      <c r="B1" s="158"/>
      <c r="C1" s="158"/>
      <c r="D1" s="158"/>
      <c r="E1" s="158"/>
      <c r="F1" s="158"/>
      <c r="G1" s="158"/>
      <c r="H1" s="155"/>
    </row>
    <row r="2" spans="1:28" ht="33" customHeight="1" x14ac:dyDescent="0.3">
      <c r="A2" s="32" t="s">
        <v>193</v>
      </c>
      <c r="B2" s="1"/>
      <c r="C2" s="1"/>
      <c r="D2" s="1"/>
      <c r="E2" s="1"/>
      <c r="F2" s="1"/>
      <c r="G2" s="1"/>
      <c r="J2" s="1"/>
    </row>
    <row r="3" spans="1:28" ht="26.25" customHeight="1" x14ac:dyDescent="0.3">
      <c r="A3" s="33" t="s">
        <v>37</v>
      </c>
      <c r="B3" s="815" t="e">
        <f>#REF!</f>
        <v>#REF!</v>
      </c>
      <c r="C3" s="815"/>
      <c r="D3" s="815"/>
      <c r="E3" s="815"/>
      <c r="F3" s="815"/>
      <c r="G3" s="815"/>
      <c r="H3" s="815"/>
      <c r="I3" s="918" t="e" vm="1">
        <f ca="1">_xlfn.IMAGE("https://api.qrserver.com/v1/create-qr-code/?size=150x150&amp;data=" &amp; _xlfn.ENCODEURL('Job Details Install'!J10), "QR", 1)</f>
        <v>#VALUE!</v>
      </c>
      <c r="J3" s="919"/>
    </row>
    <row r="4" spans="1:28" ht="24" customHeight="1" x14ac:dyDescent="0.3">
      <c r="A4" s="35" t="s">
        <v>38</v>
      </c>
      <c r="B4" s="921">
        <f>'Job Details Install'!B9</f>
        <v>0</v>
      </c>
      <c r="C4" s="922"/>
      <c r="D4" s="937"/>
      <c r="E4" s="921" t="s">
        <v>194</v>
      </c>
      <c r="F4" s="937"/>
      <c r="G4" s="921" t="e">
        <f>#REF!</f>
        <v>#REF!</v>
      </c>
      <c r="H4" s="937"/>
      <c r="I4" s="918"/>
      <c r="J4" s="919"/>
      <c r="U4" s="1" t="s">
        <v>622</v>
      </c>
    </row>
    <row r="5" spans="1:28" ht="39" customHeight="1" thickBot="1" x14ac:dyDescent="0.35">
      <c r="A5" s="47" t="s">
        <v>40</v>
      </c>
      <c r="B5" s="936" t="e">
        <f>#REF!</f>
        <v>#REF!</v>
      </c>
      <c r="C5" s="936"/>
      <c r="D5" s="936"/>
      <c r="E5" s="936"/>
      <c r="F5" s="936"/>
      <c r="G5" s="936"/>
      <c r="H5" s="936"/>
      <c r="I5" s="918"/>
      <c r="J5" s="919"/>
    </row>
    <row r="6" spans="1:28" ht="22.4" customHeight="1" x14ac:dyDescent="0.45">
      <c r="A6" s="179"/>
      <c r="B6" s="930" t="s">
        <v>195</v>
      </c>
      <c r="C6" s="931"/>
      <c r="D6" s="931"/>
      <c r="E6" s="178"/>
      <c r="F6" s="178"/>
      <c r="G6" s="178"/>
      <c r="H6" s="178"/>
      <c r="I6" s="942" t="str">
        <f>'Job Details Install'!F1</f>
        <v>INSTALL</v>
      </c>
      <c r="J6" s="943"/>
      <c r="V6" s="8" t="s">
        <v>618</v>
      </c>
      <c r="W6" s="8" t="s">
        <v>617</v>
      </c>
      <c r="X6" s="8" t="s">
        <v>619</v>
      </c>
      <c r="Y6" s="8" t="s">
        <v>440</v>
      </c>
    </row>
    <row r="7" spans="1:28" ht="20.149999999999999" customHeight="1" thickBot="1" x14ac:dyDescent="0.35">
      <c r="B7" s="16"/>
      <c r="C7" s="933" t="s">
        <v>196</v>
      </c>
      <c r="D7" s="934"/>
      <c r="E7" s="935"/>
      <c r="F7" s="16"/>
      <c r="I7" s="944"/>
      <c r="J7" s="945"/>
      <c r="T7" s="8" t="s">
        <v>620</v>
      </c>
      <c r="U7" s="710">
        <v>7.4</v>
      </c>
      <c r="V7" s="710">
        <v>12.72</v>
      </c>
      <c r="W7" s="710">
        <f>V7/5</f>
        <v>2.544</v>
      </c>
      <c r="X7" s="1">
        <v>800</v>
      </c>
      <c r="Y7" s="711">
        <v>6</v>
      </c>
      <c r="Z7" s="713">
        <f>Y7*X7/1000</f>
        <v>4.8</v>
      </c>
      <c r="AA7" s="710">
        <f>Z7*W7</f>
        <v>12.2112</v>
      </c>
    </row>
    <row r="8" spans="1:28" ht="20.149999999999999" customHeight="1" x14ac:dyDescent="0.3">
      <c r="A8" s="48" t="s">
        <v>42</v>
      </c>
      <c r="B8" s="49" t="s">
        <v>197</v>
      </c>
      <c r="C8" s="50" t="s">
        <v>198</v>
      </c>
      <c r="D8" s="51" t="s">
        <v>199</v>
      </c>
      <c r="E8" s="52" t="s">
        <v>200</v>
      </c>
      <c r="F8" s="53" t="s">
        <v>201</v>
      </c>
      <c r="G8" s="3" t="s">
        <v>43</v>
      </c>
      <c r="I8" s="23"/>
      <c r="J8" s="54"/>
      <c r="T8" s="8"/>
      <c r="U8" s="710">
        <v>7.4</v>
      </c>
      <c r="V8" s="710">
        <v>12.72</v>
      </c>
      <c r="W8" s="710">
        <f>V8/5</f>
        <v>2.544</v>
      </c>
      <c r="X8" s="1">
        <v>2500</v>
      </c>
      <c r="Y8" s="711">
        <v>500</v>
      </c>
      <c r="Z8" s="712">
        <f>Y8*X8</f>
        <v>1250000</v>
      </c>
      <c r="AA8" s="710">
        <f>(Z8/1000)*W8</f>
        <v>3180</v>
      </c>
      <c r="AB8" s="710">
        <f>AA8*4</f>
        <v>12720</v>
      </c>
    </row>
    <row r="9" spans="1:28" ht="20.149999999999999" customHeight="1" x14ac:dyDescent="0.3">
      <c r="A9" s="5"/>
      <c r="B9" s="16"/>
      <c r="C9" s="55"/>
      <c r="D9" s="56"/>
      <c r="E9" s="57"/>
      <c r="F9" s="58"/>
      <c r="G9" s="59"/>
      <c r="J9" s="60" t="s">
        <v>188</v>
      </c>
    </row>
    <row r="10" spans="1:28" ht="20.149999999999999" customHeight="1" x14ac:dyDescent="0.3">
      <c r="A10" s="5" t="s">
        <v>202</v>
      </c>
      <c r="B10" s="16"/>
      <c r="C10" s="55"/>
      <c r="D10" s="56"/>
      <c r="E10" s="63">
        <f>SUM(D10*6)*C10</f>
        <v>0</v>
      </c>
      <c r="F10" s="64"/>
      <c r="G10" s="65"/>
      <c r="H10" s="45">
        <f>C10*D10*2</f>
        <v>0</v>
      </c>
      <c r="I10" s="27" t="s">
        <v>63</v>
      </c>
      <c r="J10" s="66">
        <f>IF(B10=0,0,SUM((B10-18*F10)/C10)-2)</f>
        <v>0</v>
      </c>
    </row>
    <row r="11" spans="1:28" ht="20.149999999999999" customHeight="1" x14ac:dyDescent="0.3">
      <c r="A11" s="5" t="s">
        <v>203</v>
      </c>
      <c r="B11" s="16"/>
      <c r="C11" s="61"/>
      <c r="D11" s="62"/>
      <c r="E11" s="63">
        <f>SUM(D11*6)*C11</f>
        <v>0</v>
      </c>
      <c r="F11" s="67"/>
      <c r="G11" s="65"/>
      <c r="H11" s="45">
        <f>C11*D11*2</f>
        <v>0</v>
      </c>
      <c r="I11" s="27" t="s">
        <v>63</v>
      </c>
      <c r="J11" s="66">
        <f>IF(B11=0,0,SUM((B11-18*F11)/C11)-2)</f>
        <v>0</v>
      </c>
      <c r="T11" s="8" t="s">
        <v>621</v>
      </c>
      <c r="V11" s="710">
        <f>1.27*2</f>
        <v>2.54</v>
      </c>
      <c r="Y11" s="1">
        <v>456</v>
      </c>
      <c r="AB11" s="710">
        <f>Y11*V11*8/2</f>
        <v>4632.96</v>
      </c>
    </row>
    <row r="12" spans="1:28" ht="20.149999999999999" customHeight="1" x14ac:dyDescent="0.3">
      <c r="A12" s="5" t="s">
        <v>204</v>
      </c>
      <c r="B12" s="16"/>
      <c r="C12" s="61"/>
      <c r="D12" s="62"/>
      <c r="E12" s="63">
        <f>SUM(D12*6)*C12</f>
        <v>0</v>
      </c>
      <c r="F12" s="67"/>
      <c r="G12" s="65"/>
      <c r="H12" s="45">
        <f>C12*D12*2</f>
        <v>0</v>
      </c>
      <c r="I12" s="27" t="s">
        <v>63</v>
      </c>
      <c r="J12" s="66">
        <f>IF(B12=0,0,SUM((B12-18*F12)/C12)-2)</f>
        <v>0</v>
      </c>
    </row>
    <row r="13" spans="1:28" ht="20.149999999999999" customHeight="1" x14ac:dyDescent="0.3">
      <c r="A13" s="6" t="s">
        <v>205</v>
      </c>
      <c r="B13" s="16"/>
      <c r="C13" s="61"/>
      <c r="D13" s="68"/>
      <c r="E13" s="63">
        <f>SUM(D13*6)*C13</f>
        <v>0</v>
      </c>
      <c r="F13" s="69"/>
      <c r="G13" s="65"/>
      <c r="H13" s="45">
        <f>C13*D13*2</f>
        <v>0</v>
      </c>
      <c r="I13" s="27" t="s">
        <v>63</v>
      </c>
      <c r="J13" s="66">
        <f>IF(B13=0,0,SUM((B13-18*F13)/C13)-2)</f>
        <v>0</v>
      </c>
      <c r="AB13" s="710">
        <f>AB11+AB8</f>
        <v>17352.96</v>
      </c>
    </row>
    <row r="14" spans="1:28" ht="20.149999999999999" customHeight="1" x14ac:dyDescent="0.3">
      <c r="A14" s="180"/>
      <c r="B14" s="932" t="s">
        <v>206</v>
      </c>
      <c r="C14" s="932"/>
      <c r="D14" s="70"/>
      <c r="E14" s="70"/>
      <c r="F14" s="70"/>
      <c r="G14" s="17"/>
      <c r="H14" s="71">
        <f>SUM(H10:H13)</f>
        <v>0</v>
      </c>
      <c r="I14" s="19" t="s">
        <v>46</v>
      </c>
      <c r="J14" s="72"/>
    </row>
    <row r="15" spans="1:28" ht="31.5" customHeight="1" x14ac:dyDescent="0.3">
      <c r="A15" s="73" t="s">
        <v>79</v>
      </c>
      <c r="B15" s="74" t="s">
        <v>207</v>
      </c>
      <c r="C15" s="74" t="s">
        <v>208</v>
      </c>
      <c r="D15" s="181" t="s">
        <v>209</v>
      </c>
      <c r="E15" s="17"/>
      <c r="F15" s="17"/>
      <c r="G15" s="17"/>
      <c r="H15" s="18"/>
      <c r="I15" s="19"/>
    </row>
    <row r="16" spans="1:28" ht="20.149999999999999" customHeight="1" x14ac:dyDescent="0.3">
      <c r="A16" s="722" t="s">
        <v>210</v>
      </c>
      <c r="B16" s="74"/>
      <c r="C16" s="723">
        <v>70</v>
      </c>
      <c r="D16" s="724">
        <f>B16*C16</f>
        <v>0</v>
      </c>
      <c r="E16" s="17"/>
      <c r="F16" s="17"/>
      <c r="G16" s="17"/>
      <c r="H16" s="13">
        <f>SUM(H10:H13)*3</f>
        <v>0</v>
      </c>
      <c r="I16" s="14" t="s">
        <v>211</v>
      </c>
    </row>
    <row r="17" spans="1:25" ht="20.149999999999999" customHeight="1" x14ac:dyDescent="0.3">
      <c r="A17" s="725" t="s">
        <v>212</v>
      </c>
      <c r="B17" s="726"/>
      <c r="C17" s="727">
        <v>85</v>
      </c>
      <c r="D17" s="724">
        <f t="shared" ref="D17:D18" si="0">B17*C17</f>
        <v>0</v>
      </c>
      <c r="H17" s="15">
        <f>SUM(F9:F13)</f>
        <v>0</v>
      </c>
      <c r="I17" s="14" t="s">
        <v>189</v>
      </c>
    </row>
    <row r="18" spans="1:25" ht="20.149999999999999" customHeight="1" thickBot="1" x14ac:dyDescent="0.35">
      <c r="A18" s="725" t="s">
        <v>217</v>
      </c>
      <c r="B18" s="726"/>
      <c r="C18" s="727">
        <v>85</v>
      </c>
      <c r="D18" s="728">
        <f t="shared" si="0"/>
        <v>0</v>
      </c>
      <c r="H18" s="20">
        <f>H17*2</f>
        <v>0</v>
      </c>
      <c r="I18" s="14" t="s">
        <v>213</v>
      </c>
    </row>
    <row r="19" spans="1:25" ht="20.149999999999999" customHeight="1" x14ac:dyDescent="0.3">
      <c r="A19" s="725" t="s">
        <v>214</v>
      </c>
      <c r="B19" s="726"/>
      <c r="C19" s="729"/>
      <c r="D19" s="730">
        <f>SUM(D16:D18)</f>
        <v>0</v>
      </c>
      <c r="Y19" s="1">
        <v>13000</v>
      </c>
    </row>
    <row r="20" spans="1:25" x14ac:dyDescent="0.3">
      <c r="A20" s="731"/>
      <c r="B20" s="726"/>
      <c r="C20" s="726"/>
      <c r="D20" s="726"/>
      <c r="Y20" s="1">
        <v>750</v>
      </c>
    </row>
    <row r="21" spans="1:25" ht="22.4" customHeight="1" x14ac:dyDescent="0.3">
      <c r="A21" s="940" t="s">
        <v>81</v>
      </c>
      <c r="B21" s="941"/>
      <c r="C21" s="938"/>
      <c r="D21" s="939"/>
    </row>
    <row r="22" spans="1:25" ht="13.5" thickBot="1" x14ac:dyDescent="0.35">
      <c r="A22" s="175"/>
      <c r="B22" s="176"/>
      <c r="C22" s="176"/>
      <c r="D22" s="176"/>
      <c r="E22" s="176"/>
      <c r="F22" s="176"/>
      <c r="G22" s="176"/>
      <c r="H22" s="175"/>
      <c r="I22" s="175"/>
      <c r="J22" s="177"/>
    </row>
    <row r="23" spans="1:25" ht="28.4" customHeight="1" x14ac:dyDescent="0.45">
      <c r="B23" s="929" t="s">
        <v>215</v>
      </c>
      <c r="C23" s="929"/>
    </row>
    <row r="24" spans="1:25" ht="36.65" customHeight="1" x14ac:dyDescent="0.3">
      <c r="A24" s="26"/>
      <c r="B24" s="16" t="s">
        <v>207</v>
      </c>
      <c r="C24" s="16" t="s">
        <v>208</v>
      </c>
      <c r="D24" s="721" t="s">
        <v>216</v>
      </c>
    </row>
    <row r="25" spans="1:25" ht="20.149999999999999" customHeight="1" x14ac:dyDescent="0.3">
      <c r="A25" s="26" t="s">
        <v>163</v>
      </c>
      <c r="B25" s="16"/>
      <c r="C25" s="732">
        <v>60</v>
      </c>
      <c r="D25" s="16">
        <f>B25*C25</f>
        <v>0</v>
      </c>
    </row>
    <row r="26" spans="1:25" ht="20.149999999999999" customHeight="1" x14ac:dyDescent="0.3">
      <c r="A26" s="26" t="s">
        <v>55</v>
      </c>
      <c r="B26" s="16"/>
      <c r="C26" s="732">
        <v>80</v>
      </c>
      <c r="D26" s="16">
        <f>B26*C26</f>
        <v>0</v>
      </c>
    </row>
    <row r="27" spans="1:25" ht="20.149999999999999" customHeight="1" thickBot="1" x14ac:dyDescent="0.35">
      <c r="A27" s="26" t="s">
        <v>217</v>
      </c>
      <c r="B27" s="16"/>
      <c r="C27" s="732">
        <v>85</v>
      </c>
      <c r="D27" s="733">
        <f>B27*C27</f>
        <v>0</v>
      </c>
    </row>
    <row r="28" spans="1:25" ht="20.149999999999999" customHeight="1" x14ac:dyDescent="0.3">
      <c r="A28" s="26"/>
      <c r="B28" s="16"/>
      <c r="C28" s="16"/>
      <c r="D28" s="734">
        <f>SUM(D25:D27)</f>
        <v>0</v>
      </c>
    </row>
    <row r="29" spans="1:25" ht="17.149999999999999" customHeight="1" x14ac:dyDescent="0.3"/>
    <row r="30" spans="1:25" ht="17.149999999999999" customHeight="1" x14ac:dyDescent="0.3">
      <c r="A30" s="1" t="s">
        <v>466</v>
      </c>
      <c r="D30" s="735">
        <f>D28+D19</f>
        <v>0</v>
      </c>
    </row>
  </sheetData>
  <mergeCells count="13">
    <mergeCell ref="I3:J5"/>
    <mergeCell ref="B23:C23"/>
    <mergeCell ref="B6:D6"/>
    <mergeCell ref="B14:C14"/>
    <mergeCell ref="C7:E7"/>
    <mergeCell ref="B3:H3"/>
    <mergeCell ref="B5:H5"/>
    <mergeCell ref="E4:F4"/>
    <mergeCell ref="G4:H4"/>
    <mergeCell ref="B4:D4"/>
    <mergeCell ref="C21:D21"/>
    <mergeCell ref="A21:B21"/>
    <mergeCell ref="I6:J7"/>
  </mergeCells>
  <conditionalFormatting sqref="I6">
    <cfRule type="expression" dxfId="35" priority="1">
      <formula>ISNUMBER(SEARCH("SHIP", I6))</formula>
    </cfRule>
    <cfRule type="expression" dxfId="34" priority="2">
      <formula>ISNUMBER(SEARCH("PICKUP", I6))</formula>
    </cfRule>
    <cfRule type="expression" dxfId="33" priority="3">
      <formula>ISNUMBER(SEARCH("INSTALL", I6))</formula>
    </cfRule>
  </conditionalFormatting>
  <pageMargins left="0.25" right="0.25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B0F0"/>
    <pageSetUpPr fitToPage="1"/>
  </sheetPr>
  <dimension ref="A1:CX69"/>
  <sheetViews>
    <sheetView zoomScaleNormal="100" workbookViewId="0">
      <selection activeCell="O8" sqref="O8"/>
    </sheetView>
  </sheetViews>
  <sheetFormatPr defaultColWidth="9.1796875" defaultRowHeight="13" x14ac:dyDescent="0.3"/>
  <cols>
    <col min="1" max="1" width="22.81640625" style="1" customWidth="1"/>
    <col min="2" max="2" width="8.1796875" style="8" customWidth="1"/>
    <col min="3" max="9" width="8.1796875" style="1" customWidth="1"/>
    <col min="10" max="11" width="9.1796875" style="1" customWidth="1"/>
    <col min="12" max="12" width="10.81640625" style="1" customWidth="1"/>
    <col min="13" max="14" width="9.1796875" style="1" customWidth="1"/>
    <col min="15" max="15" width="11" style="1" customWidth="1"/>
    <col min="16" max="16" width="9.1796875" style="1" customWidth="1"/>
    <col min="17" max="20" width="15.54296875" style="1" customWidth="1"/>
    <col min="21" max="24" width="15.54296875" style="1" hidden="1" customWidth="1"/>
    <col min="25" max="25" width="15.54296875" style="1" customWidth="1"/>
    <col min="26" max="27" width="9.1796875" style="1"/>
    <col min="28" max="31" width="15.54296875" style="1" customWidth="1"/>
    <col min="32" max="33" width="15.54296875" style="1" hidden="1" customWidth="1"/>
    <col min="34" max="34" width="15.54296875" style="1" customWidth="1"/>
    <col min="35" max="35" width="9.1796875" style="1" hidden="1" customWidth="1"/>
    <col min="36" max="38" width="9.1796875" style="1"/>
    <col min="39" max="43" width="15.54296875" style="1" customWidth="1"/>
    <col min="44" max="44" width="15.54296875" style="1" hidden="1" customWidth="1"/>
    <col min="45" max="45" width="15.54296875" style="1" customWidth="1"/>
    <col min="46" max="46" width="9.1796875" style="1" hidden="1" customWidth="1"/>
    <col min="47" max="49" width="9.1796875" style="1"/>
    <col min="50" max="53" width="15.54296875" style="1" customWidth="1"/>
    <col min="54" max="55" width="15.54296875" style="1" hidden="1" customWidth="1"/>
    <col min="56" max="56" width="15.54296875" style="1" customWidth="1"/>
    <col min="57" max="57" width="9.1796875" style="1" hidden="1" customWidth="1"/>
    <col min="58" max="60" width="9.1796875" style="1"/>
    <col min="61" max="64" width="15.54296875" style="1" customWidth="1"/>
    <col min="65" max="66" width="15.54296875" style="1" hidden="1" customWidth="1"/>
    <col min="67" max="67" width="15.54296875" style="1" customWidth="1"/>
    <col min="68" max="68" width="0" style="1" hidden="1" customWidth="1"/>
    <col min="69" max="71" width="9.1796875" style="1"/>
    <col min="72" max="75" width="15.54296875" style="1" customWidth="1"/>
    <col min="76" max="77" width="15.54296875" style="1" hidden="1" customWidth="1"/>
    <col min="78" max="78" width="15.54296875" style="1" customWidth="1"/>
    <col min="79" max="79" width="9.1796875" style="1" hidden="1" customWidth="1"/>
    <col min="80" max="82" width="9.1796875" style="1"/>
    <col min="83" max="86" width="15.54296875" style="1" customWidth="1"/>
    <col min="87" max="88" width="15.54296875" style="1" hidden="1" customWidth="1"/>
    <col min="89" max="89" width="15.54296875" style="1" customWidth="1"/>
    <col min="90" max="90" width="0" style="1" hidden="1" customWidth="1"/>
    <col min="91" max="93" width="9.1796875" style="1"/>
    <col min="94" max="97" width="15.54296875" style="1" customWidth="1"/>
    <col min="98" max="99" width="15.54296875" style="1" hidden="1" customWidth="1"/>
    <col min="100" max="100" width="15.54296875" style="1" customWidth="1"/>
    <col min="101" max="101" width="14.81640625" style="1" hidden="1" customWidth="1"/>
    <col min="102" max="16384" width="9.1796875" style="1"/>
  </cols>
  <sheetData>
    <row r="1" spans="1:102" ht="37.4" customHeight="1" thickBot="1" x14ac:dyDescent="0.8">
      <c r="A1" s="948" t="s">
        <v>537</v>
      </c>
      <c r="B1" s="949"/>
      <c r="C1" s="949"/>
      <c r="D1" s="949"/>
      <c r="E1" s="949"/>
      <c r="F1" s="950"/>
      <c r="H1" s="946" t="str">
        <f>'Job Details Install'!F1</f>
        <v>INSTALL</v>
      </c>
      <c r="I1" s="947"/>
      <c r="Q1" s="954" t="s">
        <v>423</v>
      </c>
      <c r="R1" s="955"/>
      <c r="S1" s="955"/>
      <c r="T1" s="955"/>
      <c r="U1" s="477"/>
      <c r="V1" s="477"/>
      <c r="W1" s="477"/>
      <c r="X1" s="477"/>
      <c r="Y1" s="479"/>
      <c r="AB1" s="954" t="s">
        <v>423</v>
      </c>
      <c r="AC1" s="955"/>
      <c r="AD1" s="955"/>
      <c r="AE1" s="955"/>
      <c r="AF1" s="477"/>
      <c r="AG1" s="477"/>
      <c r="AH1" s="478"/>
      <c r="AI1" s="316"/>
      <c r="AJ1" s="316"/>
      <c r="AM1" s="954" t="s">
        <v>423</v>
      </c>
      <c r="AN1" s="955"/>
      <c r="AO1" s="955"/>
      <c r="AP1" s="955"/>
      <c r="AQ1" s="478"/>
      <c r="AR1" s="316"/>
      <c r="AS1" s="316"/>
      <c r="AT1" s="316"/>
      <c r="AU1" s="316"/>
      <c r="AX1" s="954" t="s">
        <v>423</v>
      </c>
      <c r="AY1" s="955"/>
      <c r="AZ1" s="955"/>
      <c r="BA1" s="955"/>
      <c r="BB1" s="477"/>
      <c r="BC1" s="477"/>
      <c r="BD1" s="478"/>
      <c r="BE1" s="316"/>
      <c r="BF1" s="316"/>
      <c r="BI1" s="954" t="s">
        <v>423</v>
      </c>
      <c r="BJ1" s="955"/>
      <c r="BK1" s="955"/>
      <c r="BL1" s="955"/>
      <c r="BM1" s="477"/>
      <c r="BN1" s="477"/>
      <c r="BO1" s="478"/>
      <c r="BP1" s="316"/>
      <c r="BQ1" s="316"/>
      <c r="BT1" s="954" t="s">
        <v>423</v>
      </c>
      <c r="BU1" s="955"/>
      <c r="BV1" s="955"/>
      <c r="BW1" s="955"/>
      <c r="BX1" s="477"/>
      <c r="BY1" s="477"/>
      <c r="BZ1" s="478"/>
      <c r="CA1" s="316"/>
      <c r="CB1" s="316"/>
      <c r="CE1" s="954" t="s">
        <v>423</v>
      </c>
      <c r="CF1" s="955"/>
      <c r="CG1" s="955"/>
      <c r="CH1" s="955"/>
      <c r="CI1" s="477"/>
      <c r="CJ1" s="477"/>
      <c r="CK1" s="478"/>
      <c r="CL1" s="316"/>
      <c r="CM1" s="316"/>
      <c r="CP1" s="954" t="s">
        <v>423</v>
      </c>
      <c r="CQ1" s="955"/>
      <c r="CR1" s="955"/>
      <c r="CS1" s="955"/>
      <c r="CT1" s="477"/>
      <c r="CU1" s="477"/>
      <c r="CV1" s="478"/>
      <c r="CW1" s="316"/>
      <c r="CX1" s="316"/>
    </row>
    <row r="2" spans="1:102" ht="23.25" customHeight="1" x14ac:dyDescent="0.45">
      <c r="A2" s="553" t="s">
        <v>218</v>
      </c>
      <c r="B2" s="1"/>
      <c r="H2" s="985" t="e" vm="1">
        <f ca="1">_xlfn.IMAGE("https://api.qrserver.com/v1/create-qr-code/?size=150x150&amp;data=" &amp; _xlfn.ENCODEURL('Job Details Install'!J10), "QR", 1)</f>
        <v>#VALUE!</v>
      </c>
      <c r="I2" s="985"/>
      <c r="P2"/>
      <c r="Q2" s="321" t="s">
        <v>451</v>
      </c>
      <c r="R2" s="473">
        <f>F4</f>
        <v>0</v>
      </c>
      <c r="S2" s="85"/>
      <c r="T2" s="956" t="str">
        <f>'Job Details Install'!F1</f>
        <v>INSTALL</v>
      </c>
      <c r="U2" s="85"/>
      <c r="V2" s="85"/>
      <c r="W2" s="85"/>
      <c r="X2" s="307"/>
      <c r="Y2" s="975">
        <v>1</v>
      </c>
      <c r="Z2" s="307"/>
      <c r="AA2" s="307"/>
      <c r="AB2" s="321" t="s">
        <v>451</v>
      </c>
      <c r="AC2" s="473">
        <f>F4</f>
        <v>0</v>
      </c>
      <c r="AD2" s="85"/>
      <c r="AE2" s="956" t="str">
        <f>'Job Details Install'!F1</f>
        <v>INSTALL</v>
      </c>
      <c r="AF2" s="366"/>
      <c r="AG2" s="366"/>
      <c r="AH2" s="975">
        <v>2</v>
      </c>
      <c r="AI2" s="307"/>
      <c r="AJ2" s="307"/>
      <c r="AK2" s="307"/>
      <c r="AL2" s="307"/>
      <c r="AM2" s="321" t="s">
        <v>451</v>
      </c>
      <c r="AN2" s="473">
        <f>F4</f>
        <v>0</v>
      </c>
      <c r="AO2" s="85"/>
      <c r="AP2" s="956" t="str">
        <f>'Job Details Install'!F1</f>
        <v>INSTALL</v>
      </c>
      <c r="AQ2" s="975">
        <v>3</v>
      </c>
      <c r="AR2" s="85"/>
      <c r="AS2" s="85"/>
      <c r="AT2" s="307"/>
      <c r="AU2" s="307"/>
      <c r="AV2" s="307"/>
      <c r="AW2" s="307"/>
      <c r="AX2" s="321" t="s">
        <v>451</v>
      </c>
      <c r="AY2" s="473">
        <f>F4</f>
        <v>0</v>
      </c>
      <c r="AZ2" s="85"/>
      <c r="BA2" s="956" t="str">
        <f>'Job Details Install'!F1</f>
        <v>INSTALL</v>
      </c>
      <c r="BB2" s="85"/>
      <c r="BC2" s="85"/>
      <c r="BD2" s="975">
        <v>4</v>
      </c>
      <c r="BE2" s="307"/>
      <c r="BF2" s="307"/>
      <c r="BG2" s="307"/>
      <c r="BH2" s="307"/>
      <c r="BI2" s="321" t="s">
        <v>451</v>
      </c>
      <c r="BJ2" s="473">
        <f>F4</f>
        <v>0</v>
      </c>
      <c r="BK2" s="85"/>
      <c r="BL2" s="956" t="str">
        <f>'Job Details Install'!F1</f>
        <v>INSTALL</v>
      </c>
      <c r="BM2" s="85"/>
      <c r="BN2" s="85"/>
      <c r="BO2" s="975">
        <v>5</v>
      </c>
      <c r="BP2"/>
      <c r="BQ2"/>
      <c r="BS2" s="307"/>
      <c r="BT2" s="321" t="s">
        <v>451</v>
      </c>
      <c r="BU2" s="473">
        <f>F4</f>
        <v>0</v>
      </c>
      <c r="BV2" s="85"/>
      <c r="BW2" s="956" t="str">
        <f>'Job Details Install'!F1</f>
        <v>INSTALL</v>
      </c>
      <c r="BX2" s="85"/>
      <c r="BY2" s="85"/>
      <c r="BZ2" s="975">
        <v>6</v>
      </c>
      <c r="CA2"/>
      <c r="CB2"/>
      <c r="CD2" s="307"/>
      <c r="CE2" s="321" t="s">
        <v>451</v>
      </c>
      <c r="CF2" s="473">
        <f>F4</f>
        <v>0</v>
      </c>
      <c r="CG2" s="85"/>
      <c r="CH2" s="956" t="str">
        <f>'Job Details Install'!F1</f>
        <v>INSTALL</v>
      </c>
      <c r="CI2" s="85"/>
      <c r="CJ2" s="85"/>
      <c r="CK2" s="975">
        <v>7</v>
      </c>
      <c r="CL2"/>
      <c r="CM2"/>
      <c r="CO2" s="307"/>
      <c r="CP2" s="321" t="s">
        <v>451</v>
      </c>
      <c r="CQ2" s="473">
        <f>F4</f>
        <v>0</v>
      </c>
      <c r="CR2" s="85"/>
      <c r="CS2" s="956" t="str">
        <f>'Job Details Install'!F1</f>
        <v>INSTALL</v>
      </c>
      <c r="CT2" s="85"/>
      <c r="CU2" s="85"/>
      <c r="CV2" s="975">
        <v>8</v>
      </c>
      <c r="CW2"/>
      <c r="CX2"/>
    </row>
    <row r="3" spans="1:102" ht="17.25" customHeight="1" thickBot="1" x14ac:dyDescent="0.5">
      <c r="A3" s="33" t="s">
        <v>37</v>
      </c>
      <c r="B3" s="992" t="e">
        <f>#REF!</f>
        <v>#REF!</v>
      </c>
      <c r="C3" s="993"/>
      <c r="D3" s="994"/>
      <c r="E3" s="522"/>
      <c r="F3" s="522"/>
      <c r="G3" s="522"/>
      <c r="H3" s="985"/>
      <c r="I3" s="985"/>
      <c r="P3" s="305"/>
      <c r="Q3" s="321" t="s">
        <v>38</v>
      </c>
      <c r="R3" s="982">
        <f>B4</f>
        <v>0</v>
      </c>
      <c r="S3" s="982"/>
      <c r="T3" s="957"/>
      <c r="U3" s="365"/>
      <c r="V3" s="307"/>
      <c r="W3" s="307"/>
      <c r="X3" s="307"/>
      <c r="Y3" s="976"/>
      <c r="Z3" s="307"/>
      <c r="AA3" s="307"/>
      <c r="AB3" s="321" t="s">
        <v>38</v>
      </c>
      <c r="AC3" s="982">
        <f>B4</f>
        <v>0</v>
      </c>
      <c r="AD3" s="982"/>
      <c r="AE3" s="957"/>
      <c r="AF3" s="366"/>
      <c r="AG3" s="366"/>
      <c r="AH3" s="976"/>
      <c r="AI3" s="307"/>
      <c r="AJ3" s="307"/>
      <c r="AK3" s="307"/>
      <c r="AL3" s="307"/>
      <c r="AM3" s="321" t="s">
        <v>38</v>
      </c>
      <c r="AN3" s="983">
        <f>B4</f>
        <v>0</v>
      </c>
      <c r="AO3" s="983"/>
      <c r="AP3" s="957"/>
      <c r="AQ3" s="976"/>
      <c r="AR3" s="307"/>
      <c r="AS3" s="307"/>
      <c r="AT3" s="307"/>
      <c r="AU3" s="307"/>
      <c r="AV3" s="307"/>
      <c r="AW3" s="307"/>
      <c r="AX3" s="321" t="s">
        <v>38</v>
      </c>
      <c r="AY3" s="982">
        <f>B4</f>
        <v>0</v>
      </c>
      <c r="AZ3" s="1004"/>
      <c r="BA3" s="957"/>
      <c r="BB3" s="85"/>
      <c r="BC3" s="307"/>
      <c r="BD3" s="976"/>
      <c r="BE3" s="307"/>
      <c r="BF3" s="307"/>
      <c r="BG3" s="307"/>
      <c r="BH3" s="307"/>
      <c r="BI3" s="321" t="s">
        <v>38</v>
      </c>
      <c r="BJ3" s="982">
        <f>B4</f>
        <v>0</v>
      </c>
      <c r="BK3" s="982"/>
      <c r="BL3" s="957"/>
      <c r="BM3" s="365"/>
      <c r="BN3" s="305"/>
      <c r="BO3" s="976"/>
      <c r="BP3" s="305"/>
      <c r="BQ3" s="305"/>
      <c r="BS3" s="307"/>
      <c r="BT3" s="321" t="s">
        <v>38</v>
      </c>
      <c r="BU3" s="982">
        <f>B4</f>
        <v>0</v>
      </c>
      <c r="BV3" s="982"/>
      <c r="BW3" s="957"/>
      <c r="BX3" s="85"/>
      <c r="BY3" s="305"/>
      <c r="BZ3" s="976"/>
      <c r="CA3" s="305"/>
      <c r="CB3" s="305"/>
      <c r="CD3" s="307"/>
      <c r="CE3" s="321" t="s">
        <v>38</v>
      </c>
      <c r="CF3" s="982">
        <f>B4</f>
        <v>0</v>
      </c>
      <c r="CG3" s="982"/>
      <c r="CH3" s="957"/>
      <c r="CI3" s="85"/>
      <c r="CJ3" s="305"/>
      <c r="CK3" s="976"/>
      <c r="CL3" s="305"/>
      <c r="CM3" s="305"/>
      <c r="CO3" s="307"/>
      <c r="CP3" s="321" t="s">
        <v>38</v>
      </c>
      <c r="CQ3" s="982">
        <f>B4</f>
        <v>0</v>
      </c>
      <c r="CR3" s="982"/>
      <c r="CS3" s="957"/>
      <c r="CT3" s="85"/>
      <c r="CU3" s="305"/>
      <c r="CV3" s="976"/>
      <c r="CW3" s="305"/>
      <c r="CX3" s="305"/>
    </row>
    <row r="4" spans="1:102" ht="15.75" customHeight="1" thickBot="1" x14ac:dyDescent="0.4">
      <c r="A4" s="35" t="s">
        <v>38</v>
      </c>
      <c r="B4" s="998">
        <f>'Job Details Install'!B9</f>
        <v>0</v>
      </c>
      <c r="C4" s="999"/>
      <c r="D4" s="1000"/>
      <c r="E4" s="687" t="s">
        <v>461</v>
      </c>
      <c r="F4" s="688" cm="1">
        <f t="array" ref="F4:F5">'Job Details Install'!F5:F6</f>
        <v>0</v>
      </c>
      <c r="G4" s="689"/>
      <c r="H4" s="985"/>
      <c r="I4" s="985"/>
      <c r="P4"/>
      <c r="Q4"/>
      <c r="R4"/>
      <c r="S4"/>
      <c r="T4"/>
      <c r="U4"/>
      <c r="V4"/>
      <c r="W4"/>
      <c r="X4"/>
      <c r="Y4"/>
      <c r="AA4"/>
      <c r="AB4"/>
      <c r="AC4"/>
      <c r="AD4"/>
      <c r="AE4"/>
      <c r="AF4"/>
      <c r="AG4"/>
      <c r="AH4"/>
      <c r="AI4"/>
      <c r="AJ4"/>
      <c r="AL4"/>
      <c r="AM4"/>
      <c r="AN4"/>
      <c r="AO4"/>
      <c r="AP4"/>
      <c r="AQ4"/>
      <c r="AR4"/>
      <c r="AS4"/>
      <c r="AT4"/>
      <c r="AU4"/>
      <c r="AW4"/>
      <c r="AX4"/>
      <c r="AY4"/>
      <c r="AZ4"/>
      <c r="BA4"/>
      <c r="BB4"/>
      <c r="BC4"/>
      <c r="BD4"/>
      <c r="BE4"/>
      <c r="BF4"/>
      <c r="BH4"/>
      <c r="BI4"/>
      <c r="BJ4"/>
      <c r="BK4"/>
      <c r="BL4"/>
      <c r="BM4"/>
      <c r="BN4"/>
      <c r="BO4"/>
      <c r="BP4"/>
      <c r="BQ4"/>
      <c r="BS4"/>
      <c r="BT4"/>
      <c r="BU4"/>
      <c r="BV4"/>
      <c r="BW4"/>
      <c r="BX4"/>
      <c r="BY4"/>
      <c r="BZ4"/>
      <c r="CA4"/>
      <c r="CB4"/>
      <c r="CD4"/>
      <c r="CE4"/>
      <c r="CF4"/>
      <c r="CG4"/>
      <c r="CH4"/>
      <c r="CI4"/>
      <c r="CJ4"/>
      <c r="CK4"/>
      <c r="CL4"/>
      <c r="CM4"/>
      <c r="CO4"/>
      <c r="CP4"/>
      <c r="CQ4"/>
      <c r="CR4"/>
      <c r="CS4"/>
      <c r="CT4"/>
      <c r="CU4"/>
      <c r="CV4"/>
      <c r="CW4"/>
      <c r="CX4"/>
    </row>
    <row r="5" spans="1:102" ht="18.75" customHeight="1" thickBot="1" x14ac:dyDescent="0.5">
      <c r="A5" s="686" t="s">
        <v>40</v>
      </c>
      <c r="B5" s="690">
        <f>'Job Details Install'!C6</f>
        <v>0</v>
      </c>
      <c r="C5" s="691"/>
      <c r="D5" s="691"/>
      <c r="E5" s="691"/>
      <c r="F5" s="691">
        <v>0</v>
      </c>
      <c r="G5" s="692"/>
      <c r="H5" s="986"/>
      <c r="I5" s="986"/>
      <c r="J5" s="769"/>
      <c r="K5" s="770"/>
      <c r="L5" s="771" t="s">
        <v>219</v>
      </c>
      <c r="M5" s="771" t="s">
        <v>220</v>
      </c>
      <c r="N5" s="770"/>
      <c r="O5" s="772"/>
      <c r="P5"/>
      <c r="Q5" s="552">
        <f>B8</f>
        <v>0</v>
      </c>
      <c r="R5" s="967" t="s">
        <v>424</v>
      </c>
      <c r="S5" s="967"/>
      <c r="T5" s="968"/>
      <c r="U5"/>
      <c r="V5"/>
      <c r="W5"/>
      <c r="X5"/>
      <c r="Y5" s="979" t="e" vm="1">
        <f ca="1">_xlfn.IMAGE("https://api.qrserver.com/v1/create-qr-code/?size=150x150&amp;data=" &amp; _xlfn.ENCODEURL('Job Details Install'!J10), "QR", 1)</f>
        <v>#VALUE!</v>
      </c>
      <c r="AA5"/>
      <c r="AB5" s="523">
        <f>C8</f>
        <v>0</v>
      </c>
      <c r="AC5" s="966" t="s">
        <v>424</v>
      </c>
      <c r="AD5" s="967"/>
      <c r="AE5" s="968"/>
      <c r="AF5"/>
      <c r="AG5"/>
      <c r="AH5" s="969" t="e" vm="1">
        <f ca="1">_xlfn.IMAGE("https://api.qrserver.com/v1/create-qr-code/?size=150x150&amp;data=" &amp; _xlfn.ENCODEURL('Job Details Install'!J10), "QR", 1)</f>
        <v>#VALUE!</v>
      </c>
      <c r="AI5"/>
      <c r="AJ5"/>
      <c r="AL5"/>
      <c r="AM5" s="523">
        <f>D8</f>
        <v>0</v>
      </c>
      <c r="AN5" s="966" t="s">
        <v>424</v>
      </c>
      <c r="AO5" s="967"/>
      <c r="AP5" s="968"/>
      <c r="AQ5" s="969" t="e" vm="1">
        <f ca="1">_xlfn.IMAGE("https://api.qrserver.com/v1/create-qr-code/?size=150x150&amp;data=" &amp; _xlfn.ENCODEURL('Job Details Install'!J10), "QR", 1)</f>
        <v>#VALUE!</v>
      </c>
      <c r="AR5"/>
      <c r="AS5"/>
      <c r="AT5"/>
      <c r="AU5"/>
      <c r="AW5"/>
      <c r="AX5" s="523">
        <f>E8</f>
        <v>0</v>
      </c>
      <c r="AY5" s="966" t="s">
        <v>424</v>
      </c>
      <c r="AZ5" s="967"/>
      <c r="BA5" s="968"/>
      <c r="BB5"/>
      <c r="BC5"/>
      <c r="BD5" s="969" t="e" vm="1">
        <f ca="1">_xlfn.IMAGE("https://api.qrserver.com/v1/create-qr-code/?size=150x150&amp;data=" &amp; _xlfn.ENCODEURL('Job Details Install'!J10), "QR", 1)</f>
        <v>#VALUE!</v>
      </c>
      <c r="BE5"/>
      <c r="BF5"/>
      <c r="BH5"/>
      <c r="BI5" s="523">
        <f>F8</f>
        <v>0</v>
      </c>
      <c r="BJ5" s="966" t="s">
        <v>424</v>
      </c>
      <c r="BK5" s="967"/>
      <c r="BL5" s="968"/>
      <c r="BM5"/>
      <c r="BN5"/>
      <c r="BO5" s="969" t="e" vm="1">
        <f ca="1">_xlfn.IMAGE("https://api.qrserver.com/v1/create-qr-code/?size=150x150&amp;data=" &amp; _xlfn.ENCODEURL('Job Details Install'!J10), "QR", 1)</f>
        <v>#VALUE!</v>
      </c>
      <c r="BP5"/>
      <c r="BQ5"/>
      <c r="BS5"/>
      <c r="BT5" s="523">
        <f>G8</f>
        <v>0</v>
      </c>
      <c r="BU5" s="966" t="s">
        <v>424</v>
      </c>
      <c r="BV5" s="967"/>
      <c r="BW5" s="968"/>
      <c r="BX5"/>
      <c r="BY5"/>
      <c r="BZ5" s="969" t="e" vm="1">
        <f ca="1">_xlfn.IMAGE("https://api.qrserver.com/v1/create-qr-code/?size=150x150&amp;data=" &amp; _xlfn.ENCODEURL('Job Details Install'!J10), "QR", 1)</f>
        <v>#VALUE!</v>
      </c>
      <c r="CA5"/>
      <c r="CB5"/>
      <c r="CD5"/>
      <c r="CE5" s="523">
        <f>H8</f>
        <v>0</v>
      </c>
      <c r="CF5" s="966" t="s">
        <v>424</v>
      </c>
      <c r="CG5" s="967"/>
      <c r="CH5" s="968"/>
      <c r="CI5"/>
      <c r="CJ5"/>
      <c r="CK5" s="969" t="e" vm="1">
        <f ca="1">_xlfn.IMAGE("https://api.qrserver.com/v1/create-qr-code/?size=150x150&amp;data=" &amp; _xlfn.ENCODEURL('Job Details Install'!J10), "QR", 1)</f>
        <v>#VALUE!</v>
      </c>
      <c r="CL5"/>
      <c r="CM5"/>
      <c r="CO5"/>
      <c r="CP5" s="523">
        <f>I8</f>
        <v>0</v>
      </c>
      <c r="CQ5" s="966" t="s">
        <v>424</v>
      </c>
      <c r="CR5" s="967"/>
      <c r="CS5" s="968"/>
      <c r="CT5"/>
      <c r="CU5"/>
      <c r="CV5" s="969" t="e" vm="1">
        <f ca="1">_xlfn.IMAGE("https://api.qrserver.com/v1/create-qr-code/?size=150x150&amp;data=" &amp; _xlfn.ENCODEURL('Job Details Install'!J10), "QR", 1)</f>
        <v>#VALUE!</v>
      </c>
      <c r="CW5"/>
      <c r="CX5"/>
    </row>
    <row r="6" spans="1:102" ht="25.5" customHeight="1" x14ac:dyDescent="0.55000000000000004">
      <c r="B6" s="995" t="s">
        <v>551</v>
      </c>
      <c r="C6" s="996"/>
      <c r="D6" s="996"/>
      <c r="E6" s="996"/>
      <c r="F6" s="996"/>
      <c r="G6" s="996"/>
      <c r="H6" s="997"/>
      <c r="I6" s="997"/>
      <c r="J6" s="977" t="s">
        <v>221</v>
      </c>
      <c r="K6" s="978"/>
      <c r="L6" s="773" t="s">
        <v>222</v>
      </c>
      <c r="M6" s="773" t="s">
        <v>222</v>
      </c>
      <c r="N6" s="774" t="s">
        <v>207</v>
      </c>
      <c r="O6" s="775" t="s">
        <v>46</v>
      </c>
      <c r="R6" s="524" t="s">
        <v>425</v>
      </c>
      <c r="S6" s="525" t="s">
        <v>440</v>
      </c>
      <c r="T6" s="524" t="s">
        <v>223</v>
      </c>
      <c r="U6" s="306"/>
      <c r="V6" s="306"/>
      <c r="W6" s="306"/>
      <c r="X6" s="306"/>
      <c r="Y6" s="980"/>
      <c r="AC6" s="524" t="s">
        <v>425</v>
      </c>
      <c r="AD6" s="525" t="s">
        <v>440</v>
      </c>
      <c r="AE6" s="524" t="s">
        <v>223</v>
      </c>
      <c r="AF6" s="306"/>
      <c r="AG6" s="306"/>
      <c r="AH6" s="970"/>
      <c r="AI6" s="306"/>
      <c r="AJ6" s="306"/>
      <c r="AN6" s="524" t="s">
        <v>425</v>
      </c>
      <c r="AO6" s="525" t="s">
        <v>440</v>
      </c>
      <c r="AP6" s="524" t="s">
        <v>223</v>
      </c>
      <c r="AQ6" s="970"/>
      <c r="AR6" s="306"/>
      <c r="AS6" s="306"/>
      <c r="AT6" s="306"/>
      <c r="AU6" s="306"/>
      <c r="AY6" s="524" t="s">
        <v>425</v>
      </c>
      <c r="AZ6" s="525" t="s">
        <v>440</v>
      </c>
      <c r="BA6" s="524" t="s">
        <v>223</v>
      </c>
      <c r="BB6" s="306"/>
      <c r="BC6" s="306"/>
      <c r="BD6" s="970"/>
      <c r="BE6" s="306"/>
      <c r="BF6" s="306"/>
      <c r="BJ6" s="524" t="s">
        <v>425</v>
      </c>
      <c r="BK6" s="525" t="s">
        <v>440</v>
      </c>
      <c r="BL6" s="524" t="s">
        <v>223</v>
      </c>
      <c r="BM6" s="306"/>
      <c r="BN6" s="306"/>
      <c r="BO6" s="970"/>
      <c r="BP6" s="306"/>
      <c r="BQ6" s="306"/>
      <c r="BU6" s="524" t="s">
        <v>425</v>
      </c>
      <c r="BV6" s="525" t="s">
        <v>440</v>
      </c>
      <c r="BW6" s="524" t="s">
        <v>223</v>
      </c>
      <c r="BX6" s="306"/>
      <c r="BY6" s="306"/>
      <c r="BZ6" s="970"/>
      <c r="CA6" s="306"/>
      <c r="CB6" s="306"/>
      <c r="CF6" s="524" t="s">
        <v>425</v>
      </c>
      <c r="CG6" s="525" t="s">
        <v>440</v>
      </c>
      <c r="CH6" s="524" t="s">
        <v>223</v>
      </c>
      <c r="CI6" s="306"/>
      <c r="CJ6" s="306"/>
      <c r="CK6" s="970"/>
      <c r="CL6" s="306"/>
      <c r="CM6" s="306"/>
      <c r="CQ6" s="524" t="s">
        <v>425</v>
      </c>
      <c r="CR6" s="525" t="s">
        <v>440</v>
      </c>
      <c r="CS6" s="524" t="s">
        <v>223</v>
      </c>
      <c r="CT6" s="306"/>
      <c r="CU6" s="306"/>
      <c r="CV6" s="970"/>
      <c r="CW6" s="306"/>
      <c r="CX6" s="306"/>
    </row>
    <row r="7" spans="1:102" ht="20.149999999999999" customHeight="1" x14ac:dyDescent="0.45">
      <c r="A7" s="554" t="s">
        <v>575</v>
      </c>
      <c r="B7" s="555">
        <v>1</v>
      </c>
      <c r="C7" s="555">
        <v>2</v>
      </c>
      <c r="D7" s="555">
        <v>3</v>
      </c>
      <c r="E7" s="555">
        <v>4</v>
      </c>
      <c r="F7" s="555">
        <v>5</v>
      </c>
      <c r="G7" s="555">
        <v>6</v>
      </c>
      <c r="H7" s="555">
        <v>7</v>
      </c>
      <c r="I7" s="762">
        <v>8</v>
      </c>
      <c r="J7" s="776">
        <v>2</v>
      </c>
      <c r="K7" s="774">
        <v>1200</v>
      </c>
      <c r="L7" s="774">
        <v>685</v>
      </c>
      <c r="M7" s="777">
        <v>885</v>
      </c>
      <c r="N7" s="778"/>
      <c r="O7" s="780">
        <f>N7*L7</f>
        <v>0</v>
      </c>
      <c r="P7" s="307"/>
      <c r="R7" s="521">
        <f>B11</f>
        <v>0</v>
      </c>
      <c r="S7" s="526">
        <f>B9</f>
        <v>1</v>
      </c>
      <c r="T7" s="521">
        <f>B10</f>
        <v>0</v>
      </c>
      <c r="U7" s="307"/>
      <c r="V7" s="307"/>
      <c r="W7" s="307"/>
      <c r="X7" s="307"/>
      <c r="Y7" s="981"/>
      <c r="AA7" s="307"/>
      <c r="AC7" s="521">
        <f>C11</f>
        <v>0</v>
      </c>
      <c r="AD7" s="526">
        <f>C9</f>
        <v>1</v>
      </c>
      <c r="AE7" s="521">
        <f>C10</f>
        <v>0</v>
      </c>
      <c r="AF7" s="307"/>
      <c r="AG7" s="307"/>
      <c r="AH7" s="971"/>
      <c r="AI7" s="307"/>
      <c r="AJ7" s="307"/>
      <c r="AL7" s="307"/>
      <c r="AN7" s="521">
        <f>D11</f>
        <v>0</v>
      </c>
      <c r="AO7" s="526">
        <f>D9</f>
        <v>1</v>
      </c>
      <c r="AP7" s="521">
        <f>D10</f>
        <v>0</v>
      </c>
      <c r="AQ7" s="971"/>
      <c r="AR7" s="307"/>
      <c r="AS7" s="307"/>
      <c r="AT7" s="307"/>
      <c r="AU7" s="307"/>
      <c r="AW7" s="307"/>
      <c r="AY7" s="521">
        <f>E11</f>
        <v>0</v>
      </c>
      <c r="AZ7" s="526">
        <f>E9</f>
        <v>1</v>
      </c>
      <c r="BA7" s="521">
        <f>E10</f>
        <v>0</v>
      </c>
      <c r="BB7" s="307"/>
      <c r="BC7" s="307"/>
      <c r="BD7" s="971"/>
      <c r="BE7" s="307"/>
      <c r="BF7" s="307"/>
      <c r="BH7" s="307"/>
      <c r="BJ7" s="521">
        <f>F11</f>
        <v>0</v>
      </c>
      <c r="BK7" s="526">
        <f>F9</f>
        <v>1</v>
      </c>
      <c r="BL7" s="521">
        <f>F10</f>
        <v>0</v>
      </c>
      <c r="BM7" s="307"/>
      <c r="BN7" s="307"/>
      <c r="BO7" s="971"/>
      <c r="BP7" s="307"/>
      <c r="BQ7" s="307"/>
      <c r="BS7" s="307"/>
      <c r="BU7" s="521">
        <f>G11</f>
        <v>0</v>
      </c>
      <c r="BV7" s="526">
        <f>G9</f>
        <v>1</v>
      </c>
      <c r="BW7" s="521">
        <f>G10</f>
        <v>0</v>
      </c>
      <c r="BX7" s="307"/>
      <c r="BY7" s="307"/>
      <c r="BZ7" s="971"/>
      <c r="CA7" s="307"/>
      <c r="CB7" s="307"/>
      <c r="CD7" s="307"/>
      <c r="CF7" s="521">
        <f>H11</f>
        <v>0</v>
      </c>
      <c r="CG7" s="526">
        <f>H9</f>
        <v>1</v>
      </c>
      <c r="CH7" s="521">
        <f>H10</f>
        <v>0</v>
      </c>
      <c r="CI7" s="307"/>
      <c r="CJ7" s="307"/>
      <c r="CK7" s="971"/>
      <c r="CL7" s="307"/>
      <c r="CM7" s="307"/>
      <c r="CO7" s="307"/>
      <c r="CQ7" s="521">
        <f>I11</f>
        <v>0</v>
      </c>
      <c r="CR7" s="526">
        <f>I9</f>
        <v>1</v>
      </c>
      <c r="CS7" s="521">
        <f>I10</f>
        <v>0</v>
      </c>
      <c r="CT7" s="307"/>
      <c r="CU7" s="307"/>
      <c r="CV7" s="971"/>
      <c r="CW7" s="307"/>
      <c r="CX7" s="307"/>
    </row>
    <row r="8" spans="1:102" ht="20.149999999999999" customHeight="1" x14ac:dyDescent="0.3">
      <c r="A8" s="556" t="s">
        <v>552</v>
      </c>
      <c r="B8" s="557"/>
      <c r="C8" s="557"/>
      <c r="D8" s="557"/>
      <c r="E8" s="557"/>
      <c r="F8" s="557"/>
      <c r="G8" s="557"/>
      <c r="H8" s="557"/>
      <c r="I8" s="763"/>
      <c r="J8" s="776">
        <v>2</v>
      </c>
      <c r="K8" s="774">
        <v>1600</v>
      </c>
      <c r="L8" s="774">
        <v>785</v>
      </c>
      <c r="M8" s="779">
        <v>985</v>
      </c>
      <c r="N8" s="778"/>
      <c r="O8" s="780">
        <f>N8*L8</f>
        <v>0</v>
      </c>
      <c r="R8" s="8"/>
      <c r="S8" s="8"/>
      <c r="T8" s="8"/>
      <c r="AC8" s="8"/>
      <c r="AD8" s="8"/>
      <c r="AE8" s="8"/>
      <c r="AN8" s="8"/>
      <c r="AO8" s="8"/>
      <c r="AP8" s="8"/>
      <c r="AY8" s="8"/>
      <c r="AZ8" s="8"/>
      <c r="BA8" s="8"/>
      <c r="BJ8" s="8"/>
      <c r="BK8" s="8"/>
      <c r="BL8" s="8"/>
      <c r="BU8" s="573"/>
      <c r="BV8" s="573"/>
      <c r="BW8" s="573"/>
      <c r="CF8" s="8"/>
      <c r="CG8" s="8"/>
      <c r="CH8" s="8"/>
      <c r="CQ8" s="8"/>
      <c r="CR8" s="8"/>
      <c r="CS8" s="8"/>
    </row>
    <row r="9" spans="1:102" ht="20.149999999999999" customHeight="1" x14ac:dyDescent="0.45">
      <c r="A9" s="558" t="s">
        <v>550</v>
      </c>
      <c r="B9" s="342">
        <v>1</v>
      </c>
      <c r="C9" s="342">
        <v>1</v>
      </c>
      <c r="D9" s="342">
        <v>1</v>
      </c>
      <c r="E9" s="342">
        <v>1</v>
      </c>
      <c r="F9" s="342">
        <v>1</v>
      </c>
      <c r="G9" s="342">
        <v>1</v>
      </c>
      <c r="H9" s="342">
        <v>1</v>
      </c>
      <c r="I9" s="764">
        <v>1</v>
      </c>
      <c r="J9" s="776">
        <v>2</v>
      </c>
      <c r="K9" s="774">
        <v>2000</v>
      </c>
      <c r="L9" s="774">
        <v>885</v>
      </c>
      <c r="M9" s="779">
        <v>1085</v>
      </c>
      <c r="N9" s="778"/>
      <c r="O9" s="780">
        <f t="shared" ref="O9:O20" si="0">N9*L9</f>
        <v>0</v>
      </c>
      <c r="P9" s="307"/>
      <c r="Q9" s="527" t="s">
        <v>452</v>
      </c>
      <c r="R9" s="528" t="s">
        <v>425</v>
      </c>
      <c r="S9" s="528" t="s">
        <v>554</v>
      </c>
      <c r="T9" s="520" t="s">
        <v>223</v>
      </c>
      <c r="U9" s="307"/>
      <c r="V9" s="307"/>
      <c r="W9" s="307"/>
      <c r="X9" s="307"/>
      <c r="Y9" s="307"/>
      <c r="AA9" s="307"/>
      <c r="AB9" s="527" t="s">
        <v>452</v>
      </c>
      <c r="AC9" s="528" t="s">
        <v>425</v>
      </c>
      <c r="AD9" s="528" t="s">
        <v>554</v>
      </c>
      <c r="AE9" s="520" t="s">
        <v>223</v>
      </c>
      <c r="AG9" s="307"/>
      <c r="AH9" s="307"/>
      <c r="AI9" s="307"/>
      <c r="AJ9" s="307"/>
      <c r="AL9" s="307"/>
      <c r="AM9" s="527" t="s">
        <v>452</v>
      </c>
      <c r="AN9" s="528" t="s">
        <v>425</v>
      </c>
      <c r="AO9" s="569" t="s">
        <v>554</v>
      </c>
      <c r="AP9" s="520" t="s">
        <v>223</v>
      </c>
      <c r="AQ9" s="307"/>
      <c r="AR9" s="307"/>
      <c r="AS9" s="307"/>
      <c r="AT9" s="307"/>
      <c r="AU9" s="307"/>
      <c r="AW9" s="307"/>
      <c r="AX9" s="527" t="s">
        <v>452</v>
      </c>
      <c r="AY9" s="528" t="s">
        <v>425</v>
      </c>
      <c r="AZ9" s="569" t="s">
        <v>554</v>
      </c>
      <c r="BA9" s="520" t="s">
        <v>223</v>
      </c>
      <c r="BB9" s="307"/>
      <c r="BC9" s="307"/>
      <c r="BD9" s="307"/>
      <c r="BE9" s="307"/>
      <c r="BF9" s="307"/>
      <c r="BH9" s="307"/>
      <c r="BI9" s="570" t="s">
        <v>452</v>
      </c>
      <c r="BJ9" s="528" t="s">
        <v>425</v>
      </c>
      <c r="BK9" s="569" t="s">
        <v>554</v>
      </c>
      <c r="BL9" s="520" t="s">
        <v>223</v>
      </c>
      <c r="BM9" s="307"/>
      <c r="BN9" s="307"/>
      <c r="BO9" s="307"/>
      <c r="BP9" s="307"/>
      <c r="BQ9" s="307"/>
      <c r="BS9" s="307"/>
      <c r="BT9" s="570" t="s">
        <v>452</v>
      </c>
      <c r="BU9" s="528" t="s">
        <v>425</v>
      </c>
      <c r="BV9" s="569" t="s">
        <v>554</v>
      </c>
      <c r="BW9" s="520" t="s">
        <v>223</v>
      </c>
      <c r="BX9" s="307"/>
      <c r="BY9" s="307"/>
      <c r="BZ9" s="307"/>
      <c r="CA9" s="307"/>
      <c r="CB9" s="307"/>
      <c r="CD9" s="307"/>
      <c r="CE9" s="570" t="s">
        <v>452</v>
      </c>
      <c r="CF9" s="528" t="s">
        <v>425</v>
      </c>
      <c r="CG9" s="569" t="s">
        <v>554</v>
      </c>
      <c r="CH9" s="520" t="s">
        <v>223</v>
      </c>
      <c r="CI9" s="307"/>
      <c r="CJ9" s="307"/>
      <c r="CK9" s="307"/>
      <c r="CL9" s="307"/>
      <c r="CM9" s="307"/>
      <c r="CO9" s="307"/>
      <c r="CP9" s="570" t="s">
        <v>452</v>
      </c>
      <c r="CQ9" s="528" t="s">
        <v>425</v>
      </c>
      <c r="CR9" s="569" t="s">
        <v>554</v>
      </c>
      <c r="CS9" s="520" t="s">
        <v>223</v>
      </c>
      <c r="CT9" s="307"/>
      <c r="CU9" s="307"/>
      <c r="CV9" s="307"/>
      <c r="CW9" s="307"/>
      <c r="CX9" s="307"/>
    </row>
    <row r="10" spans="1:102" ht="20.149999999999999" customHeight="1" x14ac:dyDescent="0.45">
      <c r="A10" s="558" t="s">
        <v>223</v>
      </c>
      <c r="B10" s="13"/>
      <c r="C10" s="13"/>
      <c r="D10" s="13"/>
      <c r="E10" s="13"/>
      <c r="F10" s="13"/>
      <c r="G10" s="13"/>
      <c r="H10" s="13"/>
      <c r="I10" s="747"/>
      <c r="J10" s="776">
        <v>2</v>
      </c>
      <c r="K10" s="774">
        <v>2400</v>
      </c>
      <c r="L10" s="774">
        <v>985</v>
      </c>
      <c r="M10" s="779">
        <v>1185</v>
      </c>
      <c r="N10" s="778"/>
      <c r="O10" s="780">
        <f t="shared" si="0"/>
        <v>0</v>
      </c>
      <c r="P10" s="307"/>
      <c r="Q10" s="529" t="s">
        <v>438</v>
      </c>
      <c r="R10" s="530" t="e">
        <f>SUM((V20/B14))</f>
        <v>#DIV/0!</v>
      </c>
      <c r="S10" s="530">
        <f>B14</f>
        <v>0</v>
      </c>
      <c r="T10" s="531">
        <f>X20</f>
        <v>-55</v>
      </c>
      <c r="U10" s="307"/>
      <c r="V10" s="307"/>
      <c r="W10" s="307"/>
      <c r="X10" s="307"/>
      <c r="Y10" s="307"/>
      <c r="AA10" s="307"/>
      <c r="AB10" s="529" t="s">
        <v>438</v>
      </c>
      <c r="AC10" s="565" t="e">
        <f>SUM((AG20/C14))</f>
        <v>#DIV/0!</v>
      </c>
      <c r="AD10" s="530">
        <f>C14</f>
        <v>0</v>
      </c>
      <c r="AE10" s="531">
        <f>AI20</f>
        <v>-55</v>
      </c>
      <c r="AG10" s="307"/>
      <c r="AH10" s="307"/>
      <c r="AI10" s="307"/>
      <c r="AJ10" s="307"/>
      <c r="AL10" s="307"/>
      <c r="AM10" s="529" t="s">
        <v>438</v>
      </c>
      <c r="AN10" s="565" t="e">
        <f>SUM((AR20/D14))</f>
        <v>#DIV/0!</v>
      </c>
      <c r="AO10" s="530">
        <f>D14</f>
        <v>0</v>
      </c>
      <c r="AP10" s="531">
        <f>AT20</f>
        <v>-55</v>
      </c>
      <c r="AQ10" s="307"/>
      <c r="AR10" s="307"/>
      <c r="AS10" s="307"/>
      <c r="AT10" s="307"/>
      <c r="AU10" s="307"/>
      <c r="AW10" s="307"/>
      <c r="AX10" s="529" t="s">
        <v>438</v>
      </c>
      <c r="AY10" s="565" t="e">
        <f>SUM((BC20/E14))</f>
        <v>#DIV/0!</v>
      </c>
      <c r="AZ10" s="565">
        <f>E14</f>
        <v>0</v>
      </c>
      <c r="BA10" s="531">
        <f>BE20</f>
        <v>-55</v>
      </c>
      <c r="BB10" s="307"/>
      <c r="BC10" s="307"/>
      <c r="BD10" s="307"/>
      <c r="BE10" s="307"/>
      <c r="BF10" s="307"/>
      <c r="BH10" s="307"/>
      <c r="BI10" s="529" t="s">
        <v>438</v>
      </c>
      <c r="BJ10" s="565" t="e">
        <f>SUM((BN20/F14))</f>
        <v>#DIV/0!</v>
      </c>
      <c r="BK10" s="565">
        <f>F14</f>
        <v>0</v>
      </c>
      <c r="BL10" s="531">
        <f>BP20</f>
        <v>-55</v>
      </c>
      <c r="BM10" s="307"/>
      <c r="BN10" s="307"/>
      <c r="BO10" s="307"/>
      <c r="BP10" s="307"/>
      <c r="BQ10" s="307"/>
      <c r="BS10" s="307"/>
      <c r="BT10" s="529" t="s">
        <v>438</v>
      </c>
      <c r="BU10" s="565" t="e">
        <f>SUM((BY20/G14))</f>
        <v>#DIV/0!</v>
      </c>
      <c r="BV10" s="565">
        <f>G14</f>
        <v>0</v>
      </c>
      <c r="BW10" s="531">
        <f>CA20</f>
        <v>-55</v>
      </c>
      <c r="BX10" s="307"/>
      <c r="BY10" s="307"/>
      <c r="BZ10" s="307"/>
      <c r="CA10" s="307"/>
      <c r="CB10" s="307"/>
      <c r="CD10" s="307"/>
      <c r="CE10" s="529" t="s">
        <v>438</v>
      </c>
      <c r="CF10" s="565" t="e">
        <f>SUM((CJ20/H14))</f>
        <v>#DIV/0!</v>
      </c>
      <c r="CG10" s="565">
        <f>H14</f>
        <v>0</v>
      </c>
      <c r="CH10" s="531">
        <f>CL20</f>
        <v>-55</v>
      </c>
      <c r="CI10" s="307"/>
      <c r="CJ10" s="307"/>
      <c r="CK10" s="307"/>
      <c r="CL10" s="307"/>
      <c r="CM10" s="307"/>
      <c r="CO10" s="307"/>
      <c r="CP10" s="529" t="s">
        <v>438</v>
      </c>
      <c r="CQ10" s="565" t="e">
        <f>SUM((CU20/I14))</f>
        <v>#DIV/0!</v>
      </c>
      <c r="CR10" s="565">
        <f>I14</f>
        <v>0</v>
      </c>
      <c r="CS10" s="531">
        <f>CW20</f>
        <v>-55</v>
      </c>
      <c r="CT10" s="307"/>
      <c r="CU10" s="307"/>
      <c r="CV10" s="307"/>
      <c r="CW10" s="307"/>
      <c r="CX10" s="307"/>
    </row>
    <row r="11" spans="1:102" ht="20.149999999999999" customHeight="1" thickBot="1" x14ac:dyDescent="0.35">
      <c r="A11" s="559" t="s">
        <v>224</v>
      </c>
      <c r="B11" s="560"/>
      <c r="C11" s="560"/>
      <c r="D11" s="560"/>
      <c r="E11" s="560"/>
      <c r="F11" s="560"/>
      <c r="G11" s="560"/>
      <c r="H11" s="560"/>
      <c r="I11" s="765"/>
      <c r="J11" s="776">
        <v>3</v>
      </c>
      <c r="K11" s="774">
        <v>2400</v>
      </c>
      <c r="L11" s="774">
        <v>1200</v>
      </c>
      <c r="M11" s="779">
        <v>1400</v>
      </c>
      <c r="N11" s="778"/>
      <c r="O11" s="780">
        <f t="shared" si="0"/>
        <v>0</v>
      </c>
      <c r="S11" s="8"/>
      <c r="T11" s="8"/>
      <c r="AO11" s="8"/>
      <c r="AP11" s="8"/>
      <c r="AZ11" s="8"/>
      <c r="BA11" s="8"/>
      <c r="BK11" s="8"/>
      <c r="BL11" s="8"/>
      <c r="BV11" s="8"/>
      <c r="BW11" s="8"/>
      <c r="CG11" s="8"/>
      <c r="CH11" s="8"/>
      <c r="CR11" s="8"/>
      <c r="CS11" s="8"/>
    </row>
    <row r="12" spans="1:102" ht="20.149999999999999" customHeight="1" x14ac:dyDescent="0.45">
      <c r="A12" s="561" t="s">
        <v>225</v>
      </c>
      <c r="B12" s="560"/>
      <c r="C12" s="560"/>
      <c r="D12" s="560" t="str">
        <f t="shared" ref="D12" si="1">IFERROR(B2/C2, "")</f>
        <v/>
      </c>
      <c r="E12" s="560" t="str">
        <f t="shared" ref="E12" si="2">IFERROR(C2/D2, "")</f>
        <v/>
      </c>
      <c r="F12" s="560" t="str">
        <f t="shared" ref="F12" si="3">IFERROR(D2/E2, "")</f>
        <v/>
      </c>
      <c r="G12" s="560" t="str">
        <f t="shared" ref="G12" si="4">IFERROR(E2/F2, "")</f>
        <v/>
      </c>
      <c r="H12" s="560" t="str">
        <f t="shared" ref="H12" si="5">IFERROR(F2/G2, "")</f>
        <v/>
      </c>
      <c r="I12" s="765"/>
      <c r="J12" s="776">
        <v>3</v>
      </c>
      <c r="K12" s="774">
        <v>3000</v>
      </c>
      <c r="L12" s="774">
        <v>1350</v>
      </c>
      <c r="M12" s="779">
        <v>1550</v>
      </c>
      <c r="N12" s="778"/>
      <c r="O12" s="780">
        <f t="shared" si="0"/>
        <v>0</v>
      </c>
      <c r="P12" s="307"/>
      <c r="Q12" s="532" t="s">
        <v>228</v>
      </c>
      <c r="R12" s="533">
        <f>B15</f>
        <v>101</v>
      </c>
      <c r="S12" s="308"/>
      <c r="T12" s="178"/>
      <c r="U12" s="307"/>
      <c r="V12" s="307"/>
      <c r="W12" s="307"/>
      <c r="X12" s="307"/>
      <c r="Y12" s="307"/>
      <c r="AA12" s="307"/>
      <c r="AB12" s="532" t="s">
        <v>228</v>
      </c>
      <c r="AC12" s="533">
        <f>C15</f>
        <v>101</v>
      </c>
      <c r="AG12" s="307"/>
      <c r="AH12" s="307"/>
      <c r="AI12" s="307"/>
      <c r="AJ12" s="307"/>
      <c r="AL12" s="307"/>
      <c r="AM12" s="532" t="s">
        <v>228</v>
      </c>
      <c r="AN12" s="533">
        <f>D15</f>
        <v>101</v>
      </c>
      <c r="AO12" s="8"/>
      <c r="AP12" s="8"/>
      <c r="AQ12" s="307"/>
      <c r="AR12" s="307"/>
      <c r="AS12" s="307"/>
      <c r="AT12" s="307"/>
      <c r="AU12" s="307"/>
      <c r="AW12" s="307"/>
      <c r="AX12" s="532" t="s">
        <v>228</v>
      </c>
      <c r="AY12" s="533">
        <f>E15</f>
        <v>101</v>
      </c>
      <c r="AZ12" s="308"/>
      <c r="BA12" s="178"/>
      <c r="BB12" s="307"/>
      <c r="BC12" s="307"/>
      <c r="BD12" s="307"/>
      <c r="BE12" s="307"/>
      <c r="BF12" s="307"/>
      <c r="BH12" s="307"/>
      <c r="BI12" s="532" t="s">
        <v>228</v>
      </c>
      <c r="BJ12" s="533">
        <f>F15</f>
        <v>101</v>
      </c>
      <c r="BK12" s="308"/>
      <c r="BL12" s="178"/>
      <c r="BM12" s="307"/>
      <c r="BN12" s="307"/>
      <c r="BO12" s="307"/>
      <c r="BP12" s="307"/>
      <c r="BQ12" s="307"/>
      <c r="BS12" s="307"/>
      <c r="BT12" s="532" t="s">
        <v>228</v>
      </c>
      <c r="BU12" s="533">
        <f>G15</f>
        <v>101</v>
      </c>
      <c r="BV12" s="308"/>
      <c r="BW12" s="178"/>
      <c r="BX12" s="307"/>
      <c r="BY12" s="307"/>
      <c r="BZ12" s="307"/>
      <c r="CA12" s="307"/>
      <c r="CB12" s="307"/>
      <c r="CD12" s="307"/>
      <c r="CE12" s="532" t="s">
        <v>228</v>
      </c>
      <c r="CF12" s="533">
        <f>H15</f>
        <v>101</v>
      </c>
      <c r="CG12" s="308"/>
      <c r="CH12" s="178"/>
      <c r="CI12" s="307"/>
      <c r="CJ12" s="307"/>
      <c r="CK12" s="307"/>
      <c r="CL12" s="307"/>
      <c r="CM12" s="307"/>
      <c r="CO12" s="307"/>
      <c r="CP12" s="532" t="s">
        <v>228</v>
      </c>
      <c r="CQ12" s="533">
        <f>I15</f>
        <v>101</v>
      </c>
      <c r="CR12" s="308"/>
      <c r="CS12" s="178"/>
      <c r="CT12" s="307"/>
      <c r="CU12" s="307"/>
      <c r="CV12" s="307"/>
      <c r="CW12" s="307"/>
      <c r="CX12" s="307"/>
    </row>
    <row r="13" spans="1:102" ht="20.149999999999999" customHeight="1" x14ac:dyDescent="0.45">
      <c r="A13" s="559" t="s">
        <v>226</v>
      </c>
      <c r="B13" s="13" t="s">
        <v>546</v>
      </c>
      <c r="C13" s="13" t="s">
        <v>546</v>
      </c>
      <c r="D13" s="13" t="s">
        <v>546</v>
      </c>
      <c r="E13" s="13" t="s">
        <v>546</v>
      </c>
      <c r="F13" s="13" t="s">
        <v>546</v>
      </c>
      <c r="G13" s="13" t="s">
        <v>546</v>
      </c>
      <c r="H13" s="13" t="s">
        <v>546</v>
      </c>
      <c r="I13" s="747" t="s">
        <v>546</v>
      </c>
      <c r="J13" s="776">
        <v>3</v>
      </c>
      <c r="K13" s="774">
        <v>3600</v>
      </c>
      <c r="L13" s="774">
        <v>1500</v>
      </c>
      <c r="M13" s="779">
        <v>1700</v>
      </c>
      <c r="N13" s="778"/>
      <c r="O13" s="780">
        <f t="shared" si="0"/>
        <v>0</v>
      </c>
      <c r="Q13" s="534"/>
      <c r="R13" s="535"/>
      <c r="S13" s="8"/>
      <c r="T13" s="8"/>
      <c r="AB13" s="534"/>
      <c r="AC13" s="535"/>
      <c r="AM13" s="534"/>
      <c r="AN13" s="535"/>
      <c r="AO13" s="308"/>
      <c r="AP13" s="308"/>
      <c r="AX13" s="534"/>
      <c r="AY13" s="535"/>
      <c r="AZ13" s="8"/>
      <c r="BA13" s="8"/>
      <c r="BI13" s="534"/>
      <c r="BJ13" s="535"/>
      <c r="BK13" s="8"/>
      <c r="BL13" s="8"/>
      <c r="BT13" s="534"/>
      <c r="BU13" s="535"/>
      <c r="BV13" s="8"/>
      <c r="BW13" s="8"/>
      <c r="CE13" s="534"/>
      <c r="CF13" s="535"/>
      <c r="CG13" s="8"/>
      <c r="CH13" s="8"/>
      <c r="CP13" s="534"/>
      <c r="CQ13" s="535"/>
      <c r="CR13" s="8"/>
      <c r="CS13" s="8"/>
    </row>
    <row r="14" spans="1:102" ht="20.149999999999999" customHeight="1" x14ac:dyDescent="0.45">
      <c r="A14" s="559" t="s">
        <v>227</v>
      </c>
      <c r="B14" s="13"/>
      <c r="C14" s="13"/>
      <c r="D14" s="13"/>
      <c r="E14" s="13"/>
      <c r="F14" s="13"/>
      <c r="G14" s="13"/>
      <c r="H14" s="13"/>
      <c r="I14" s="747"/>
      <c r="J14" s="776">
        <v>4</v>
      </c>
      <c r="K14" s="774">
        <v>3200</v>
      </c>
      <c r="L14" s="774">
        <v>1500</v>
      </c>
      <c r="M14" s="779">
        <v>1700</v>
      </c>
      <c r="N14" s="778"/>
      <c r="O14" s="780">
        <f t="shared" si="0"/>
        <v>0</v>
      </c>
      <c r="P14" s="307"/>
      <c r="Q14" s="534" t="s">
        <v>232</v>
      </c>
      <c r="R14" s="536">
        <f>B19</f>
        <v>0</v>
      </c>
      <c r="S14" s="308"/>
      <c r="T14" s="308"/>
      <c r="U14" s="307"/>
      <c r="V14" s="307"/>
      <c r="W14" s="307"/>
      <c r="X14" s="307"/>
      <c r="Y14" s="307"/>
      <c r="AA14" s="307"/>
      <c r="AB14" s="534" t="s">
        <v>232</v>
      </c>
      <c r="AC14" s="536">
        <f>C19</f>
        <v>0</v>
      </c>
      <c r="AG14" s="307"/>
      <c r="AH14" s="307"/>
      <c r="AI14" s="307"/>
      <c r="AJ14" s="307"/>
      <c r="AL14" s="307"/>
      <c r="AM14" s="534" t="s">
        <v>232</v>
      </c>
      <c r="AN14" s="536">
        <f>D19</f>
        <v>0</v>
      </c>
      <c r="AO14" s="8"/>
      <c r="AP14" s="8"/>
      <c r="AQ14" s="307"/>
      <c r="AR14" s="307"/>
      <c r="AS14" s="307"/>
      <c r="AT14" s="307"/>
      <c r="AU14" s="307"/>
      <c r="AW14" s="307"/>
      <c r="AX14" s="534" t="s">
        <v>232</v>
      </c>
      <c r="AY14" s="536">
        <f>E19</f>
        <v>0</v>
      </c>
      <c r="AZ14" s="308"/>
      <c r="BA14" s="308"/>
      <c r="BB14" s="307"/>
      <c r="BC14" s="307"/>
      <c r="BD14" s="307"/>
      <c r="BE14" s="307"/>
      <c r="BF14" s="307"/>
      <c r="BH14" s="307"/>
      <c r="BI14" s="534" t="s">
        <v>232</v>
      </c>
      <c r="BJ14" s="536">
        <f>F19</f>
        <v>0</v>
      </c>
      <c r="BK14" s="308"/>
      <c r="BL14" s="308"/>
      <c r="BM14" s="307"/>
      <c r="BN14" s="307"/>
      <c r="BO14" s="307"/>
      <c r="BP14" s="307"/>
      <c r="BQ14" s="307"/>
      <c r="BS14" s="307"/>
      <c r="BT14" s="534" t="s">
        <v>232</v>
      </c>
      <c r="BU14" s="536">
        <f>G19</f>
        <v>0</v>
      </c>
      <c r="BV14" s="308"/>
      <c r="BW14" s="308"/>
      <c r="BX14" s="307"/>
      <c r="BY14" s="307"/>
      <c r="BZ14" s="307"/>
      <c r="CA14" s="307"/>
      <c r="CB14" s="307"/>
      <c r="CD14" s="307"/>
      <c r="CE14" s="534" t="s">
        <v>232</v>
      </c>
      <c r="CF14" s="536">
        <f>H18</f>
        <v>0</v>
      </c>
      <c r="CG14" s="308"/>
      <c r="CH14" s="308"/>
      <c r="CI14" s="307"/>
      <c r="CJ14" s="307"/>
      <c r="CK14" s="307"/>
      <c r="CL14" s="307"/>
      <c r="CM14" s="307"/>
      <c r="CO14" s="307"/>
      <c r="CP14" s="534" t="s">
        <v>232</v>
      </c>
      <c r="CQ14" s="536">
        <f>I19</f>
        <v>0</v>
      </c>
      <c r="CR14" s="308"/>
      <c r="CS14" s="308"/>
      <c r="CT14" s="307"/>
      <c r="CU14" s="307"/>
      <c r="CV14" s="307"/>
      <c r="CW14" s="307"/>
      <c r="CX14" s="307"/>
    </row>
    <row r="15" spans="1:102" ht="20.149999999999999" customHeight="1" x14ac:dyDescent="0.45">
      <c r="A15" s="561" t="s">
        <v>228</v>
      </c>
      <c r="B15" s="13">
        <v>101</v>
      </c>
      <c r="C15" s="13">
        <v>101</v>
      </c>
      <c r="D15" s="13">
        <v>101</v>
      </c>
      <c r="E15" s="13">
        <v>101</v>
      </c>
      <c r="F15" s="13">
        <v>101</v>
      </c>
      <c r="G15" s="13">
        <v>101</v>
      </c>
      <c r="H15" s="13">
        <v>101</v>
      </c>
      <c r="I15" s="747">
        <v>101</v>
      </c>
      <c r="J15" s="776">
        <v>4</v>
      </c>
      <c r="K15" s="774">
        <v>4000</v>
      </c>
      <c r="L15" s="774">
        <v>1700</v>
      </c>
      <c r="M15" s="779">
        <v>1900</v>
      </c>
      <c r="N15" s="778"/>
      <c r="O15" s="780">
        <f t="shared" si="0"/>
        <v>0</v>
      </c>
      <c r="Q15" s="537"/>
      <c r="R15" s="538"/>
      <c r="S15" s="8"/>
      <c r="T15" s="8"/>
      <c r="AB15" s="537"/>
      <c r="AC15" s="538"/>
      <c r="AM15" s="537"/>
      <c r="AN15" s="538"/>
      <c r="AO15" s="308"/>
      <c r="AP15" s="308"/>
      <c r="AX15" s="537"/>
      <c r="AY15" s="538"/>
      <c r="AZ15" s="8"/>
      <c r="BA15" s="8"/>
      <c r="BI15" s="537"/>
      <c r="BJ15" s="538"/>
      <c r="BK15" s="8"/>
      <c r="BL15" s="8"/>
      <c r="BT15" s="537"/>
      <c r="BU15" s="538"/>
      <c r="BV15" s="8"/>
      <c r="BW15" s="8"/>
      <c r="CE15" s="537"/>
      <c r="CF15" s="538"/>
      <c r="CG15" s="8"/>
      <c r="CH15" s="8"/>
      <c r="CP15" s="537"/>
      <c r="CQ15" s="538"/>
      <c r="CR15" s="8"/>
      <c r="CS15" s="8"/>
    </row>
    <row r="16" spans="1:102" ht="20.149999999999999" customHeight="1" x14ac:dyDescent="0.45">
      <c r="A16" s="562" t="s">
        <v>229</v>
      </c>
      <c r="B16" s="13"/>
      <c r="C16" s="13"/>
      <c r="D16" s="13"/>
      <c r="E16" s="13"/>
      <c r="F16" s="13"/>
      <c r="G16" s="13"/>
      <c r="H16" s="563"/>
      <c r="I16" s="336"/>
      <c r="J16" s="776">
        <v>4</v>
      </c>
      <c r="K16" s="774">
        <v>4800</v>
      </c>
      <c r="L16" s="774">
        <v>1900</v>
      </c>
      <c r="M16" s="779">
        <v>2100</v>
      </c>
      <c r="N16" s="778"/>
      <c r="O16" s="780">
        <f t="shared" si="0"/>
        <v>0</v>
      </c>
      <c r="P16" s="307"/>
      <c r="Q16" s="534" t="s">
        <v>426</v>
      </c>
      <c r="R16" s="539">
        <f>B9*B14</f>
        <v>0</v>
      </c>
      <c r="S16" s="308"/>
      <c r="T16" s="308"/>
      <c r="U16" s="307"/>
      <c r="V16" s="307"/>
      <c r="W16" s="307"/>
      <c r="X16" s="307"/>
      <c r="Y16" s="307"/>
      <c r="AA16" s="307"/>
      <c r="AB16" s="534" t="s">
        <v>426</v>
      </c>
      <c r="AC16" s="539">
        <f>C9*C14</f>
        <v>0</v>
      </c>
      <c r="AG16" s="307"/>
      <c r="AH16" s="307"/>
      <c r="AI16" s="307"/>
      <c r="AJ16" s="307"/>
      <c r="AL16" s="307"/>
      <c r="AM16" s="534" t="s">
        <v>426</v>
      </c>
      <c r="AN16" s="539">
        <f>D9*D14</f>
        <v>0</v>
      </c>
      <c r="AO16" s="308"/>
      <c r="AP16" s="308"/>
      <c r="AQ16" s="307"/>
      <c r="AR16" s="307"/>
      <c r="AS16" s="307"/>
      <c r="AT16" s="307"/>
      <c r="AU16" s="307"/>
      <c r="AW16" s="307"/>
      <c r="AX16" s="534" t="s">
        <v>426</v>
      </c>
      <c r="AY16" s="539">
        <f>E9*E14</f>
        <v>0</v>
      </c>
      <c r="AZ16" s="308"/>
      <c r="BA16" s="308"/>
      <c r="BB16" s="307"/>
      <c r="BC16" s="307"/>
      <c r="BD16" s="307"/>
      <c r="BE16" s="307"/>
      <c r="BF16" s="307"/>
      <c r="BH16" s="307"/>
      <c r="BI16" s="534" t="s">
        <v>426</v>
      </c>
      <c r="BJ16" s="539">
        <f>F9*F14</f>
        <v>0</v>
      </c>
      <c r="BK16" s="308"/>
      <c r="BL16" s="308"/>
      <c r="BM16" s="307"/>
      <c r="BN16" s="307"/>
      <c r="BO16" s="307"/>
      <c r="BP16" s="307"/>
      <c r="BQ16" s="307"/>
      <c r="BS16" s="307"/>
      <c r="BT16" s="534" t="s">
        <v>426</v>
      </c>
      <c r="BU16" s="539">
        <f>G14*G9</f>
        <v>0</v>
      </c>
      <c r="BV16" s="308"/>
      <c r="BW16" s="308"/>
      <c r="BX16" s="307"/>
      <c r="BY16" s="307"/>
      <c r="BZ16" s="307"/>
      <c r="CA16" s="307"/>
      <c r="CB16" s="307"/>
      <c r="CD16" s="307"/>
      <c r="CE16" s="534" t="s">
        <v>426</v>
      </c>
      <c r="CF16" s="539">
        <f>H9*H14</f>
        <v>0</v>
      </c>
      <c r="CG16" s="308"/>
      <c r="CH16" s="308"/>
      <c r="CI16" s="307"/>
      <c r="CJ16" s="307"/>
      <c r="CK16" s="307"/>
      <c r="CL16" s="307"/>
      <c r="CM16" s="307"/>
      <c r="CO16" s="307"/>
      <c r="CP16" s="534" t="s">
        <v>426</v>
      </c>
      <c r="CQ16" s="539">
        <f>I9*I14</f>
        <v>0</v>
      </c>
      <c r="CR16" s="308"/>
      <c r="CS16" s="308"/>
      <c r="CT16" s="307"/>
      <c r="CU16" s="307"/>
      <c r="CV16" s="307"/>
      <c r="CW16" s="307"/>
      <c r="CX16" s="307"/>
    </row>
    <row r="17" spans="1:102" ht="20.149999999999999" customHeight="1" x14ac:dyDescent="0.45">
      <c r="A17" s="561" t="s">
        <v>230</v>
      </c>
      <c r="B17" s="563"/>
      <c r="C17" s="563"/>
      <c r="D17" s="563"/>
      <c r="E17" s="563"/>
      <c r="F17" s="563"/>
      <c r="G17" s="563"/>
      <c r="H17" s="563"/>
      <c r="I17" s="766"/>
      <c r="J17" s="963" t="s">
        <v>233</v>
      </c>
      <c r="K17" s="964"/>
      <c r="L17" s="964"/>
      <c r="M17" s="965"/>
      <c r="N17" s="778"/>
      <c r="O17" s="780">
        <f t="shared" si="0"/>
        <v>0</v>
      </c>
      <c r="P17" s="307"/>
      <c r="Q17" s="537"/>
      <c r="R17" s="538"/>
      <c r="S17" s="308"/>
      <c r="T17" s="308"/>
      <c r="U17" s="307"/>
      <c r="V17" s="307"/>
      <c r="W17" s="307"/>
      <c r="X17" s="307"/>
      <c r="Y17" s="307"/>
      <c r="AA17" s="307"/>
      <c r="AB17" s="537"/>
      <c r="AC17" s="538"/>
      <c r="AG17" s="307"/>
      <c r="AH17" s="307"/>
      <c r="AI17" s="307"/>
      <c r="AJ17" s="307"/>
      <c r="AL17" s="307"/>
      <c r="AM17" s="537"/>
      <c r="AN17" s="538"/>
      <c r="AO17" s="309"/>
      <c r="AP17" s="309"/>
      <c r="AQ17" s="307"/>
      <c r="AR17" s="307"/>
      <c r="AS17" s="307"/>
      <c r="AT17" s="307"/>
      <c r="AU17" s="307"/>
      <c r="AW17" s="307"/>
      <c r="AX17" s="537"/>
      <c r="AY17" s="538"/>
      <c r="AZ17" s="308"/>
      <c r="BA17" s="308"/>
      <c r="BB17" s="307"/>
      <c r="BC17" s="307"/>
      <c r="BD17" s="307"/>
      <c r="BE17" s="307"/>
      <c r="BF17" s="307"/>
      <c r="BH17" s="307"/>
      <c r="BI17" s="537"/>
      <c r="BJ17" s="538"/>
      <c r="BK17" s="308"/>
      <c r="BL17" s="308"/>
      <c r="BM17" s="307"/>
      <c r="BN17" s="307"/>
      <c r="BO17" s="307"/>
      <c r="BP17" s="307"/>
      <c r="BQ17" s="307"/>
      <c r="BS17" s="307"/>
      <c r="BT17" s="537"/>
      <c r="BU17" s="538"/>
      <c r="BV17" s="308"/>
      <c r="BW17" s="308"/>
      <c r="BX17" s="307"/>
      <c r="BY17" s="307"/>
      <c r="BZ17" s="307"/>
      <c r="CA17" s="307"/>
      <c r="CB17" s="307"/>
      <c r="CD17" s="307"/>
      <c r="CE17" s="537"/>
      <c r="CF17" s="538"/>
      <c r="CG17" s="308"/>
      <c r="CH17" s="308"/>
      <c r="CI17" s="307"/>
      <c r="CJ17" s="307"/>
      <c r="CK17" s="307"/>
      <c r="CL17" s="307"/>
      <c r="CM17" s="307"/>
      <c r="CO17" s="307"/>
      <c r="CP17" s="537"/>
      <c r="CQ17" s="538"/>
      <c r="CR17" s="308"/>
      <c r="CS17" s="308"/>
      <c r="CT17" s="307"/>
      <c r="CU17" s="307"/>
      <c r="CV17" s="307"/>
      <c r="CW17" s="307"/>
      <c r="CX17" s="307"/>
    </row>
    <row r="18" spans="1:102" ht="20.149999999999999" customHeight="1" x14ac:dyDescent="0.45">
      <c r="A18" s="561" t="s">
        <v>231</v>
      </c>
      <c r="B18" s="13"/>
      <c r="C18" s="13"/>
      <c r="D18" s="13"/>
      <c r="E18" s="13"/>
      <c r="F18" s="13"/>
      <c r="G18" s="13"/>
      <c r="H18" s="13"/>
      <c r="I18" s="336"/>
      <c r="J18" s="776">
        <v>3</v>
      </c>
      <c r="K18" s="774">
        <v>2400</v>
      </c>
      <c r="L18" s="774">
        <v>1285</v>
      </c>
      <c r="M18" s="779">
        <v>1485</v>
      </c>
      <c r="N18" s="778"/>
      <c r="O18" s="780">
        <f t="shared" si="0"/>
        <v>0</v>
      </c>
      <c r="P18" s="309"/>
      <c r="Q18" s="534" t="s">
        <v>427</v>
      </c>
      <c r="R18" s="539">
        <f>B21</f>
        <v>0</v>
      </c>
      <c r="S18" s="309"/>
      <c r="T18" s="309"/>
      <c r="U18" s="309"/>
      <c r="V18" s="309"/>
      <c r="W18" s="309"/>
      <c r="X18" s="309"/>
      <c r="Y18" s="309"/>
      <c r="AA18" s="309"/>
      <c r="AB18" s="534" t="s">
        <v>427</v>
      </c>
      <c r="AC18" s="539">
        <f>C21</f>
        <v>0</v>
      </c>
      <c r="AD18" s="309"/>
      <c r="AE18" s="309"/>
      <c r="AF18" s="309"/>
      <c r="AG18" s="309"/>
      <c r="AH18" s="309"/>
      <c r="AI18" s="309"/>
      <c r="AJ18" s="309"/>
      <c r="AL18" s="309"/>
      <c r="AM18" s="534" t="s">
        <v>427</v>
      </c>
      <c r="AN18" s="539">
        <f>D21</f>
        <v>0</v>
      </c>
      <c r="AQ18" s="309"/>
      <c r="AR18" s="309"/>
      <c r="AS18" s="309"/>
      <c r="AT18" s="309"/>
      <c r="AU18" s="309"/>
      <c r="AW18" s="309"/>
      <c r="AX18" s="534" t="s">
        <v>427</v>
      </c>
      <c r="AY18" s="539">
        <f>E21</f>
        <v>0</v>
      </c>
      <c r="AZ18" s="309"/>
      <c r="BA18" s="309"/>
      <c r="BB18" s="309"/>
      <c r="BC18" s="309"/>
      <c r="BD18" s="309"/>
      <c r="BE18" s="309"/>
      <c r="BF18" s="309"/>
      <c r="BH18" s="309"/>
      <c r="BI18" s="534" t="s">
        <v>427</v>
      </c>
      <c r="BJ18" s="539">
        <f>F21</f>
        <v>0</v>
      </c>
      <c r="BK18" s="309"/>
      <c r="BL18" s="309"/>
      <c r="BM18" s="309"/>
      <c r="BN18" s="309"/>
      <c r="BO18" s="309"/>
      <c r="BP18" s="309"/>
      <c r="BQ18" s="309"/>
      <c r="BS18" s="309"/>
      <c r="BT18" s="534" t="s">
        <v>427</v>
      </c>
      <c r="BU18" s="539">
        <f>G21</f>
        <v>0</v>
      </c>
      <c r="BV18" s="309"/>
      <c r="BW18" s="309"/>
      <c r="BX18" s="309"/>
      <c r="BY18" s="309"/>
      <c r="BZ18" s="309"/>
      <c r="CA18" s="309"/>
      <c r="CB18" s="309"/>
      <c r="CD18" s="309"/>
      <c r="CE18" s="534" t="s">
        <v>427</v>
      </c>
      <c r="CF18" s="539">
        <f>H21</f>
        <v>0</v>
      </c>
      <c r="CG18" s="309"/>
      <c r="CH18" s="309"/>
      <c r="CI18" s="309"/>
      <c r="CJ18" s="309"/>
      <c r="CK18" s="309"/>
      <c r="CL18" s="309"/>
      <c r="CM18" s="309"/>
      <c r="CO18" s="309"/>
      <c r="CP18" s="534" t="s">
        <v>427</v>
      </c>
      <c r="CQ18" s="539">
        <f>I21</f>
        <v>0</v>
      </c>
      <c r="CR18" s="309"/>
      <c r="CS18" s="309"/>
      <c r="CT18" s="309"/>
      <c r="CU18" s="309"/>
      <c r="CV18" s="309"/>
      <c r="CW18" s="309"/>
      <c r="CX18" s="309"/>
    </row>
    <row r="19" spans="1:102" ht="20.149999999999999" customHeight="1" thickBot="1" x14ac:dyDescent="0.5">
      <c r="A19" s="558" t="s">
        <v>232</v>
      </c>
      <c r="B19" s="13"/>
      <c r="C19" s="13"/>
      <c r="D19" s="13"/>
      <c r="E19" s="13"/>
      <c r="F19" s="13"/>
      <c r="G19" s="13"/>
      <c r="H19" s="13"/>
      <c r="I19" s="747"/>
      <c r="J19" s="776">
        <v>3</v>
      </c>
      <c r="K19" s="774">
        <v>3000</v>
      </c>
      <c r="L19" s="774">
        <v>1585</v>
      </c>
      <c r="M19" s="779">
        <v>1785</v>
      </c>
      <c r="N19" s="778"/>
      <c r="O19" s="780">
        <f t="shared" si="0"/>
        <v>0</v>
      </c>
      <c r="P19" s="152"/>
      <c r="Q19" s="540" t="s">
        <v>428</v>
      </c>
      <c r="R19" s="541"/>
      <c r="U19" s="152"/>
      <c r="V19" s="152"/>
      <c r="W19" s="152"/>
      <c r="X19" s="152"/>
      <c r="Y19" s="152"/>
      <c r="AA19" s="152"/>
      <c r="AB19" s="540" t="s">
        <v>428</v>
      </c>
      <c r="AC19" s="541" t="s">
        <v>3</v>
      </c>
      <c r="AF19" s="152"/>
      <c r="AG19" s="152"/>
      <c r="AH19" s="152"/>
      <c r="AI19" s="152"/>
      <c r="AJ19" s="152"/>
      <c r="AL19" s="152"/>
      <c r="AM19" s="540" t="s">
        <v>428</v>
      </c>
      <c r="AN19" s="541" t="s">
        <v>3</v>
      </c>
      <c r="AQ19" s="152"/>
      <c r="AR19" s="152"/>
      <c r="AS19" s="152"/>
      <c r="AT19" s="152"/>
      <c r="AU19" s="152"/>
      <c r="AW19" s="152"/>
      <c r="AX19" s="540" t="s">
        <v>428</v>
      </c>
      <c r="AY19" s="541" t="s">
        <v>3</v>
      </c>
      <c r="BB19" s="152"/>
      <c r="BC19" s="152"/>
      <c r="BD19" s="152"/>
      <c r="BE19" s="152"/>
      <c r="BF19" s="152"/>
      <c r="BH19" s="152"/>
      <c r="BI19" s="540" t="s">
        <v>428</v>
      </c>
      <c r="BJ19" s="541" t="s">
        <v>3</v>
      </c>
      <c r="BM19" s="152"/>
      <c r="BN19" s="152"/>
      <c r="BO19" s="152"/>
      <c r="BP19" s="152"/>
      <c r="BQ19" s="152"/>
      <c r="BS19" s="152"/>
      <c r="BT19" s="540" t="s">
        <v>428</v>
      </c>
      <c r="BU19" s="541" t="s">
        <v>3</v>
      </c>
      <c r="BX19" s="152"/>
      <c r="BY19" s="152"/>
      <c r="BZ19" s="152"/>
      <c r="CA19" s="152"/>
      <c r="CB19" s="152"/>
      <c r="CD19" s="152"/>
      <c r="CE19" s="540" t="s">
        <v>428</v>
      </c>
      <c r="CF19" s="541" t="s">
        <v>3</v>
      </c>
      <c r="CI19" s="152"/>
      <c r="CJ19" s="152"/>
      <c r="CK19" s="152"/>
      <c r="CL19" s="152"/>
      <c r="CM19" s="152"/>
      <c r="CO19" s="152"/>
      <c r="CP19" s="540" t="s">
        <v>428</v>
      </c>
      <c r="CQ19" s="541" t="s">
        <v>3</v>
      </c>
      <c r="CT19" s="152"/>
      <c r="CU19" s="152"/>
      <c r="CV19" s="152"/>
      <c r="CW19" s="152"/>
      <c r="CX19" s="152"/>
    </row>
    <row r="20" spans="1:102" ht="30" customHeight="1" x14ac:dyDescent="0.45">
      <c r="A20" s="562" t="s">
        <v>574</v>
      </c>
      <c r="B20" s="601"/>
      <c r="C20" s="601"/>
      <c r="D20" s="13"/>
      <c r="E20" s="13"/>
      <c r="F20" s="13"/>
      <c r="G20" s="13"/>
      <c r="H20" s="13"/>
      <c r="I20" s="336"/>
      <c r="J20" s="776">
        <v>3</v>
      </c>
      <c r="K20" s="774">
        <v>3600</v>
      </c>
      <c r="L20" s="774">
        <v>1885</v>
      </c>
      <c r="M20" s="779">
        <v>2085</v>
      </c>
      <c r="N20" s="778"/>
      <c r="O20" s="780">
        <f t="shared" si="0"/>
        <v>0</v>
      </c>
      <c r="P20" s="305"/>
      <c r="Q20" s="34"/>
      <c r="U20" s="305"/>
      <c r="V20" s="307">
        <f>IF(B14=2,R7+15,IF(R16=3,R7+30,R7+45))</f>
        <v>45</v>
      </c>
      <c r="W20" s="307"/>
      <c r="X20" s="307">
        <f>IF(R18="N",T7-45,T7-55)</f>
        <v>-55</v>
      </c>
      <c r="Y20" s="305"/>
      <c r="AA20" s="305"/>
      <c r="AF20" s="305"/>
      <c r="AG20" s="307">
        <f>IF(C14=2,AC7+15,IF(C14=3,AC7+30,AC7+45))</f>
        <v>45</v>
      </c>
      <c r="AH20" s="307"/>
      <c r="AI20" s="307">
        <f>IF(AC18="N",AE7-45,AE7-55)</f>
        <v>-55</v>
      </c>
      <c r="AJ20" s="305"/>
      <c r="AL20" s="305"/>
      <c r="AQ20" s="305"/>
      <c r="AR20" s="307">
        <f>IF(D14=2,AN7+15,IF(D14=3,AN7+30,AN7+45))</f>
        <v>45</v>
      </c>
      <c r="AS20" s="307"/>
      <c r="AT20" s="307">
        <f>IF(AN18="N",AP7-45,AP7-55)</f>
        <v>-55</v>
      </c>
      <c r="AU20" s="305"/>
      <c r="AW20" s="305"/>
      <c r="BB20" s="305"/>
      <c r="BC20" s="307">
        <f>IF(E14=2,AY7+15,IF(E14=3,AY7+30,AY7+45))</f>
        <v>45</v>
      </c>
      <c r="BD20" s="307"/>
      <c r="BE20" s="307">
        <f>IF(AY18="N",BA7-45,BA7-55)</f>
        <v>-55</v>
      </c>
      <c r="BF20" s="305"/>
      <c r="BH20" s="305"/>
      <c r="BM20" s="305"/>
      <c r="BN20" s="307">
        <f>IF(F14=2,BJ7+15,IF(F14=3,BJ7+30,BJ7+45))</f>
        <v>45</v>
      </c>
      <c r="BO20" s="307"/>
      <c r="BP20" s="307">
        <f>IF(BJ18="N",BL7-45,BL7-55)</f>
        <v>-55</v>
      </c>
      <c r="BQ20" s="305"/>
      <c r="BS20" s="305"/>
      <c r="BX20" s="305"/>
      <c r="BY20" s="307">
        <f>IF(G14=2,BU7+15,IF(G14=3,BU7+30,BU7+45))</f>
        <v>45</v>
      </c>
      <c r="BZ20" s="307"/>
      <c r="CA20" s="307">
        <f>IF(BU18="N",BW7-45,BW7-55)</f>
        <v>-55</v>
      </c>
      <c r="CB20" s="305"/>
      <c r="CD20" s="305"/>
      <c r="CI20" s="305"/>
      <c r="CJ20" s="307">
        <f>IF(H14=2,CF7+15,IF(H14=3,CF7+30,CF7+45))</f>
        <v>45</v>
      </c>
      <c r="CK20" s="307"/>
      <c r="CL20" s="307">
        <f>IF(CF18="N",CH7-45,CH7-55)</f>
        <v>-55</v>
      </c>
      <c r="CM20" s="305"/>
      <c r="CO20" s="305"/>
      <c r="CT20" s="305"/>
      <c r="CU20" s="307">
        <f>IF(I14=2,CQ7+15,IF(I14=3,CQ7+30,CQ7+45))</f>
        <v>45</v>
      </c>
      <c r="CV20" s="307"/>
      <c r="CW20" s="307">
        <f>IF(CQ18="N",CS7-45,CS7-55)</f>
        <v>-55</v>
      </c>
      <c r="CX20" s="305"/>
    </row>
    <row r="21" spans="1:102" ht="32.15" customHeight="1" thickBot="1" x14ac:dyDescent="0.45">
      <c r="A21" s="559" t="s">
        <v>462</v>
      </c>
      <c r="B21" s="13"/>
      <c r="C21" s="13"/>
      <c r="D21" s="13"/>
      <c r="E21" s="13"/>
      <c r="F21" s="13"/>
      <c r="G21" s="13"/>
      <c r="H21" s="13"/>
      <c r="I21" s="747"/>
      <c r="J21" s="781" t="s">
        <v>235</v>
      </c>
      <c r="K21" s="782" t="s">
        <v>236</v>
      </c>
      <c r="L21" s="782"/>
      <c r="M21" s="783">
        <v>325</v>
      </c>
      <c r="N21" s="778"/>
      <c r="O21" s="780">
        <f>N21*M21</f>
        <v>0</v>
      </c>
      <c r="P21" s="305"/>
      <c r="Q21" s="542"/>
      <c r="R21" s="543" t="s">
        <v>197</v>
      </c>
      <c r="S21" s="543"/>
      <c r="T21" s="543" t="s">
        <v>429</v>
      </c>
      <c r="U21" s="305"/>
      <c r="V21" s="305"/>
      <c r="W21" s="305"/>
      <c r="X21" s="305"/>
      <c r="Y21" s="305"/>
      <c r="AA21" s="305"/>
      <c r="AB21" s="564"/>
      <c r="AC21" s="543" t="s">
        <v>197</v>
      </c>
      <c r="AD21" s="543"/>
      <c r="AE21" s="543" t="s">
        <v>429</v>
      </c>
      <c r="AF21" s="305"/>
      <c r="AG21" s="305"/>
      <c r="AH21" s="305"/>
      <c r="AI21" s="305"/>
      <c r="AJ21" s="305"/>
      <c r="AL21" s="305"/>
      <c r="AM21" s="542"/>
      <c r="AN21" s="543" t="s">
        <v>197</v>
      </c>
      <c r="AO21" s="543"/>
      <c r="AP21" s="543" t="s">
        <v>429</v>
      </c>
      <c r="AQ21" s="305"/>
      <c r="AR21" s="305"/>
      <c r="AS21" s="305"/>
      <c r="AT21" s="305"/>
      <c r="AU21" s="305"/>
      <c r="AW21" s="305"/>
      <c r="AX21" s="542"/>
      <c r="AY21" s="543" t="s">
        <v>197</v>
      </c>
      <c r="AZ21" s="543"/>
      <c r="BA21" s="543" t="s">
        <v>429</v>
      </c>
      <c r="BB21" s="305"/>
      <c r="BC21" s="305"/>
      <c r="BD21" s="305"/>
      <c r="BE21" s="305"/>
      <c r="BF21" s="305"/>
      <c r="BH21" s="305"/>
      <c r="BI21" s="542"/>
      <c r="BJ21" s="543" t="s">
        <v>197</v>
      </c>
      <c r="BK21" s="543"/>
      <c r="BL21" s="543" t="s">
        <v>429</v>
      </c>
      <c r="BM21" s="305"/>
      <c r="BN21" s="305"/>
      <c r="BO21" s="305"/>
      <c r="BP21" s="305"/>
      <c r="BQ21" s="305"/>
      <c r="BS21" s="305"/>
      <c r="BT21" s="564"/>
      <c r="BU21" s="543" t="s">
        <v>197</v>
      </c>
      <c r="BV21" s="543"/>
      <c r="BW21" s="543" t="s">
        <v>429</v>
      </c>
      <c r="BX21" s="305"/>
      <c r="BY21" s="305"/>
      <c r="BZ21" s="305"/>
      <c r="CA21" s="305"/>
      <c r="CB21" s="305"/>
      <c r="CD21" s="305"/>
      <c r="CE21" s="543"/>
      <c r="CF21" s="543" t="s">
        <v>197</v>
      </c>
      <c r="CG21" s="564"/>
      <c r="CH21" s="543" t="s">
        <v>429</v>
      </c>
      <c r="CI21" s="305"/>
      <c r="CJ21" s="305"/>
      <c r="CK21" s="305"/>
      <c r="CL21" s="305"/>
      <c r="CM21" s="305"/>
      <c r="CO21" s="305"/>
      <c r="CP21" s="543"/>
      <c r="CQ21" s="543" t="s">
        <v>197</v>
      </c>
      <c r="CR21" s="564"/>
      <c r="CS21" s="543" t="s">
        <v>429</v>
      </c>
      <c r="CT21" s="305"/>
      <c r="CU21" s="305"/>
      <c r="CV21" s="305"/>
      <c r="CW21" s="305"/>
      <c r="CX21" s="305"/>
    </row>
    <row r="22" spans="1:102" ht="16.5" customHeight="1" x14ac:dyDescent="0.35">
      <c r="A22" s="559" t="s">
        <v>234</v>
      </c>
      <c r="B22" s="13" t="s">
        <v>547</v>
      </c>
      <c r="C22" s="13" t="s">
        <v>547</v>
      </c>
      <c r="D22" s="13" t="s">
        <v>547</v>
      </c>
      <c r="E22" s="13" t="s">
        <v>547</v>
      </c>
      <c r="F22" s="13" t="s">
        <v>547</v>
      </c>
      <c r="G22" s="13" t="s">
        <v>547</v>
      </c>
      <c r="H22" s="13" t="s">
        <v>547</v>
      </c>
      <c r="I22" s="747" t="s">
        <v>547</v>
      </c>
      <c r="J22" s="776" t="s">
        <v>237</v>
      </c>
      <c r="K22" s="782" t="s">
        <v>236</v>
      </c>
      <c r="L22" s="782"/>
      <c r="M22" s="783">
        <v>435</v>
      </c>
      <c r="N22" s="778"/>
      <c r="O22" s="780">
        <f t="shared" ref="O22" si="6">N22*L22</f>
        <v>0</v>
      </c>
      <c r="P22" s="152"/>
      <c r="Q22" s="544" t="s">
        <v>430</v>
      </c>
      <c r="R22" s="545">
        <f>T10</f>
        <v>-55</v>
      </c>
      <c r="S22" s="317"/>
      <c r="T22" s="546">
        <f>R16*2</f>
        <v>0</v>
      </c>
      <c r="U22" s="152"/>
      <c r="V22" s="152"/>
      <c r="W22" s="152"/>
      <c r="X22" s="152"/>
      <c r="Y22" s="152"/>
      <c r="AA22" s="152"/>
      <c r="AB22" s="544" t="s">
        <v>430</v>
      </c>
      <c r="AC22" s="545">
        <f>AE10</f>
        <v>-55</v>
      </c>
      <c r="AD22" s="317"/>
      <c r="AE22" s="546">
        <f>AC16*2</f>
        <v>0</v>
      </c>
      <c r="AF22" s="152"/>
      <c r="AG22" s="152"/>
      <c r="AH22" s="152"/>
      <c r="AI22" s="152"/>
      <c r="AJ22" s="152"/>
      <c r="AL22" s="152"/>
      <c r="AM22" s="544" t="s">
        <v>430</v>
      </c>
      <c r="AN22" s="545">
        <f>AP10</f>
        <v>-55</v>
      </c>
      <c r="AO22" s="317"/>
      <c r="AP22" s="546">
        <f>AN16*2</f>
        <v>0</v>
      </c>
      <c r="AQ22" s="152"/>
      <c r="AR22" s="152"/>
      <c r="AS22" s="152"/>
      <c r="AT22" s="152"/>
      <c r="AU22" s="152"/>
      <c r="AW22" s="152"/>
      <c r="AX22" s="544" t="s">
        <v>430</v>
      </c>
      <c r="AY22" s="545">
        <f>BA10</f>
        <v>-55</v>
      </c>
      <c r="AZ22" s="317"/>
      <c r="BA22" s="546">
        <f>E9*E14</f>
        <v>0</v>
      </c>
      <c r="BB22" s="152"/>
      <c r="BC22" s="152"/>
      <c r="BD22" s="152"/>
      <c r="BE22" s="152"/>
      <c r="BF22" s="152"/>
      <c r="BH22" s="152"/>
      <c r="BI22" s="544" t="s">
        <v>430</v>
      </c>
      <c r="BJ22" s="545">
        <f>BL10</f>
        <v>-55</v>
      </c>
      <c r="BK22" s="317"/>
      <c r="BL22" s="546">
        <f>BJ16*2</f>
        <v>0</v>
      </c>
      <c r="BM22" s="152"/>
      <c r="BN22" s="152"/>
      <c r="BO22" s="152"/>
      <c r="BP22" s="152"/>
      <c r="BQ22" s="152"/>
      <c r="BS22" s="152"/>
      <c r="BT22" s="544" t="s">
        <v>430</v>
      </c>
      <c r="BU22" s="545">
        <f>BW10</f>
        <v>-55</v>
      </c>
      <c r="BV22" s="317"/>
      <c r="BW22" s="546">
        <f>BU16*2</f>
        <v>0</v>
      </c>
      <c r="BX22" s="152"/>
      <c r="BY22" s="152"/>
      <c r="BZ22" s="152"/>
      <c r="CA22" s="152"/>
      <c r="CB22" s="152"/>
      <c r="CD22" s="152"/>
      <c r="CE22" s="544" t="s">
        <v>430</v>
      </c>
      <c r="CF22" s="545">
        <f>CH10</f>
        <v>-55</v>
      </c>
      <c r="CG22" s="317"/>
      <c r="CH22" s="546">
        <f>CF16*2</f>
        <v>0</v>
      </c>
      <c r="CI22" s="152"/>
      <c r="CJ22" s="152"/>
      <c r="CK22" s="152"/>
      <c r="CL22" s="152"/>
      <c r="CM22" s="152"/>
      <c r="CO22" s="152"/>
      <c r="CP22" s="544" t="s">
        <v>430</v>
      </c>
      <c r="CQ22" s="545">
        <f>CS10</f>
        <v>-55</v>
      </c>
      <c r="CR22" s="317"/>
      <c r="CS22" s="546">
        <f>I9*I14</f>
        <v>0</v>
      </c>
      <c r="CT22" s="152"/>
      <c r="CU22" s="152"/>
      <c r="CV22" s="152"/>
      <c r="CW22" s="152"/>
      <c r="CX22" s="152"/>
    </row>
    <row r="23" spans="1:102" ht="16.5" customHeight="1" x14ac:dyDescent="0.4">
      <c r="A23" s="559" t="s">
        <v>459</v>
      </c>
      <c r="B23" s="13"/>
      <c r="C23" s="13"/>
      <c r="D23" s="13"/>
      <c r="E23" s="13"/>
      <c r="F23" s="13"/>
      <c r="G23" s="13"/>
      <c r="H23" s="13"/>
      <c r="I23" s="747"/>
      <c r="J23" s="784"/>
      <c r="K23" s="785"/>
      <c r="L23" s="785"/>
      <c r="M23" s="786" t="s">
        <v>238</v>
      </c>
      <c r="N23" s="787"/>
      <c r="O23" s="788">
        <f>SUM(O7:O22)</f>
        <v>0</v>
      </c>
      <c r="P23" s="305"/>
      <c r="Q23" s="544" t="s">
        <v>431</v>
      </c>
      <c r="R23" s="545" t="e">
        <f>R10-18</f>
        <v>#DIV/0!</v>
      </c>
      <c r="S23" s="317"/>
      <c r="T23" s="546">
        <f>R16*1</f>
        <v>0</v>
      </c>
      <c r="U23" s="305"/>
      <c r="V23" s="305"/>
      <c r="W23" s="305"/>
      <c r="X23" s="305"/>
      <c r="Y23" s="305"/>
      <c r="AA23" s="305"/>
      <c r="AB23" s="544" t="s">
        <v>431</v>
      </c>
      <c r="AC23" s="545" t="e">
        <f>AC10-18</f>
        <v>#DIV/0!</v>
      </c>
      <c r="AD23" s="317"/>
      <c r="AE23" s="546">
        <f>AC16*1</f>
        <v>0</v>
      </c>
      <c r="AF23" s="305"/>
      <c r="AG23" s="305"/>
      <c r="AH23" s="305"/>
      <c r="AI23" s="305"/>
      <c r="AJ23" s="305"/>
      <c r="AL23" s="305"/>
      <c r="AM23" s="544" t="s">
        <v>431</v>
      </c>
      <c r="AN23" s="545" t="e">
        <f>AN10-18</f>
        <v>#DIV/0!</v>
      </c>
      <c r="AO23" s="317"/>
      <c r="AP23" s="546">
        <f>AN16*1</f>
        <v>0</v>
      </c>
      <c r="AQ23" s="305"/>
      <c r="AR23" s="305"/>
      <c r="AS23" s="305"/>
      <c r="AT23" s="305"/>
      <c r="AU23" s="305"/>
      <c r="AW23" s="305"/>
      <c r="AX23" s="544" t="s">
        <v>431</v>
      </c>
      <c r="AY23" s="545" t="e">
        <f>AY10-18</f>
        <v>#DIV/0!</v>
      </c>
      <c r="AZ23" s="317"/>
      <c r="BA23" s="546">
        <f>AY16*1</f>
        <v>0</v>
      </c>
      <c r="BB23" s="305"/>
      <c r="BC23" s="305"/>
      <c r="BD23" s="305"/>
      <c r="BE23" s="305"/>
      <c r="BF23" s="305"/>
      <c r="BH23" s="305"/>
      <c r="BI23" s="544" t="s">
        <v>431</v>
      </c>
      <c r="BJ23" s="545" t="e">
        <f>BJ10-18</f>
        <v>#DIV/0!</v>
      </c>
      <c r="BK23" s="317"/>
      <c r="BL23" s="546">
        <f>BJ16*1</f>
        <v>0</v>
      </c>
      <c r="BM23" s="305"/>
      <c r="BN23" s="305"/>
      <c r="BO23" s="305"/>
      <c r="BP23" s="305"/>
      <c r="BQ23" s="305"/>
      <c r="BS23" s="305"/>
      <c r="BT23" s="544" t="s">
        <v>431</v>
      </c>
      <c r="BU23" s="545" t="e">
        <f>BU10-18</f>
        <v>#DIV/0!</v>
      </c>
      <c r="BV23" s="317"/>
      <c r="BW23" s="546">
        <f>BU16*1</f>
        <v>0</v>
      </c>
      <c r="BX23" s="305"/>
      <c r="BY23" s="305"/>
      <c r="BZ23" s="305"/>
      <c r="CA23" s="305"/>
      <c r="CB23" s="305"/>
      <c r="CD23" s="305"/>
      <c r="CE23" s="544" t="s">
        <v>431</v>
      </c>
      <c r="CF23" s="545" t="e">
        <f>CF10-18</f>
        <v>#DIV/0!</v>
      </c>
      <c r="CG23" s="317"/>
      <c r="CH23" s="546">
        <f>CF16*1</f>
        <v>0</v>
      </c>
      <c r="CI23" s="305"/>
      <c r="CJ23" s="305"/>
      <c r="CK23" s="305"/>
      <c r="CL23" s="305"/>
      <c r="CM23" s="305"/>
      <c r="CO23" s="305"/>
      <c r="CP23" s="544" t="s">
        <v>431</v>
      </c>
      <c r="CQ23" s="545" t="e">
        <f>CQ10-18</f>
        <v>#DIV/0!</v>
      </c>
      <c r="CR23" s="317"/>
      <c r="CS23" s="546">
        <f>CQ16*1</f>
        <v>0</v>
      </c>
      <c r="CT23" s="305"/>
      <c r="CU23" s="305"/>
      <c r="CV23" s="305"/>
      <c r="CW23" s="305"/>
      <c r="CX23" s="305"/>
    </row>
    <row r="24" spans="1:102" ht="16.5" customHeight="1" x14ac:dyDescent="0.4">
      <c r="J24" s="784"/>
      <c r="K24" s="789" t="s">
        <v>468</v>
      </c>
      <c r="L24" s="790"/>
      <c r="M24" s="791" t="s">
        <v>81</v>
      </c>
      <c r="N24" s="785"/>
      <c r="O24" s="792">
        <f>'Install '!E15+'Install '!E16+'Install '!E17</f>
        <v>0</v>
      </c>
      <c r="P24" s="305"/>
      <c r="Q24" s="544" t="s">
        <v>432</v>
      </c>
      <c r="R24" s="545" t="e">
        <f>R10-18</f>
        <v>#DIV/0!</v>
      </c>
      <c r="S24" s="317"/>
      <c r="T24" s="546">
        <f>R16*1</f>
        <v>0</v>
      </c>
      <c r="U24" s="305"/>
      <c r="V24" s="305"/>
      <c r="W24" s="305"/>
      <c r="X24" s="305"/>
      <c r="Y24" s="305"/>
      <c r="AA24" s="305"/>
      <c r="AB24" s="544" t="s">
        <v>432</v>
      </c>
      <c r="AC24" s="545" t="e">
        <f>AC10-18</f>
        <v>#DIV/0!</v>
      </c>
      <c r="AD24" s="317"/>
      <c r="AE24" s="546">
        <f>AC16*1</f>
        <v>0</v>
      </c>
      <c r="AF24" s="305"/>
      <c r="AG24" s="305"/>
      <c r="AH24" s="305"/>
      <c r="AI24" s="305"/>
      <c r="AJ24" s="305"/>
      <c r="AL24" s="305"/>
      <c r="AM24" s="544" t="s">
        <v>432</v>
      </c>
      <c r="AN24" s="545" t="e">
        <f>AN10-18</f>
        <v>#DIV/0!</v>
      </c>
      <c r="AO24" s="317"/>
      <c r="AP24" s="546">
        <f>AN16*1</f>
        <v>0</v>
      </c>
      <c r="AQ24" s="305"/>
      <c r="AR24" s="305"/>
      <c r="AS24" s="305"/>
      <c r="AT24" s="305"/>
      <c r="AU24" s="305"/>
      <c r="AW24" s="305"/>
      <c r="AX24" s="544" t="s">
        <v>432</v>
      </c>
      <c r="AY24" s="545" t="e">
        <f>AY10-18</f>
        <v>#DIV/0!</v>
      </c>
      <c r="AZ24" s="317"/>
      <c r="BA24" s="546">
        <f>AY16*1</f>
        <v>0</v>
      </c>
      <c r="BB24" s="305"/>
      <c r="BC24" s="305"/>
      <c r="BD24" s="305"/>
      <c r="BE24" s="305"/>
      <c r="BF24" s="305"/>
      <c r="BH24" s="305"/>
      <c r="BI24" s="544" t="s">
        <v>432</v>
      </c>
      <c r="BJ24" s="545" t="e">
        <f>BJ10-18</f>
        <v>#DIV/0!</v>
      </c>
      <c r="BK24" s="317"/>
      <c r="BL24" s="546">
        <f>BJ16*1</f>
        <v>0</v>
      </c>
      <c r="BM24" s="305"/>
      <c r="BN24" s="305"/>
      <c r="BO24" s="305"/>
      <c r="BP24" s="305"/>
      <c r="BQ24" s="305"/>
      <c r="BS24" s="305"/>
      <c r="BT24" s="544" t="s">
        <v>432</v>
      </c>
      <c r="BU24" s="545" t="e">
        <f>BU10-18</f>
        <v>#DIV/0!</v>
      </c>
      <c r="BV24" s="317"/>
      <c r="BW24" s="546">
        <f>BU16*1</f>
        <v>0</v>
      </c>
      <c r="BX24" s="305"/>
      <c r="BY24" s="305"/>
      <c r="BZ24" s="305"/>
      <c r="CA24" s="305"/>
      <c r="CB24" s="305"/>
      <c r="CD24" s="305"/>
      <c r="CE24" s="544" t="s">
        <v>432</v>
      </c>
      <c r="CF24" s="545" t="e">
        <f>CF10-18</f>
        <v>#DIV/0!</v>
      </c>
      <c r="CG24" s="317"/>
      <c r="CH24" s="546">
        <f>CF16*1</f>
        <v>0</v>
      </c>
      <c r="CI24" s="305"/>
      <c r="CJ24" s="305"/>
      <c r="CK24" s="305"/>
      <c r="CL24" s="305"/>
      <c r="CM24" s="305"/>
      <c r="CO24" s="305"/>
      <c r="CP24" s="544" t="s">
        <v>432</v>
      </c>
      <c r="CQ24" s="545" t="e">
        <f>CQ10-18</f>
        <v>#DIV/0!</v>
      </c>
      <c r="CR24" s="317"/>
      <c r="CS24" s="546">
        <f>CQ16*1</f>
        <v>0</v>
      </c>
      <c r="CT24" s="305"/>
      <c r="CU24" s="305"/>
      <c r="CV24" s="305"/>
      <c r="CW24" s="305"/>
      <c r="CX24" s="305"/>
    </row>
    <row r="25" spans="1:102" ht="24.75" customHeight="1" thickBot="1" x14ac:dyDescent="0.6">
      <c r="B25" s="1"/>
      <c r="J25" s="793"/>
      <c r="K25" s="794"/>
      <c r="L25" s="794"/>
      <c r="M25" s="795" t="s">
        <v>439</v>
      </c>
      <c r="N25" s="794"/>
      <c r="O25" s="796">
        <f>O24+O23</f>
        <v>0</v>
      </c>
      <c r="P25" s="305"/>
      <c r="Q25" s="547"/>
      <c r="R25" s="318"/>
      <c r="S25" s="318"/>
      <c r="T25" s="318"/>
      <c r="U25" s="305"/>
      <c r="V25" s="305"/>
      <c r="W25" s="305"/>
      <c r="X25" s="305"/>
      <c r="Y25" s="305"/>
      <c r="AA25" s="305"/>
      <c r="AB25" s="547"/>
      <c r="AC25" s="318"/>
      <c r="AD25" s="318"/>
      <c r="AE25" s="318"/>
      <c r="AF25" s="305"/>
      <c r="AG25" s="305"/>
      <c r="AH25" s="305"/>
      <c r="AI25" s="305"/>
      <c r="AJ25" s="305"/>
      <c r="AL25" s="305"/>
      <c r="AM25" s="547"/>
      <c r="AN25" s="318"/>
      <c r="AO25" s="318"/>
      <c r="AP25" s="318"/>
      <c r="AQ25" s="305"/>
      <c r="AR25" s="305"/>
      <c r="AS25" s="305"/>
      <c r="AT25" s="305"/>
      <c r="AU25" s="305"/>
      <c r="AW25" s="305"/>
      <c r="AX25" s="318"/>
      <c r="AY25" s="318"/>
      <c r="AZ25" s="318"/>
      <c r="BA25" s="318"/>
      <c r="BB25" s="305"/>
      <c r="BC25" s="305"/>
      <c r="BD25" s="305"/>
      <c r="BE25" s="305"/>
      <c r="BF25" s="305"/>
      <c r="BH25" s="305"/>
      <c r="BI25" s="318"/>
      <c r="BJ25" s="318"/>
      <c r="BK25" s="318"/>
      <c r="BL25" s="318"/>
      <c r="BM25" s="305"/>
      <c r="BN25" s="305"/>
      <c r="BO25" s="305"/>
      <c r="BP25" s="305"/>
      <c r="BQ25" s="305"/>
      <c r="BS25" s="305"/>
      <c r="BT25" s="547"/>
      <c r="BU25" s="318"/>
      <c r="BV25" s="318"/>
      <c r="BW25" s="318"/>
      <c r="BX25" s="305"/>
      <c r="BY25" s="305"/>
      <c r="BZ25" s="305"/>
      <c r="CA25" s="305"/>
      <c r="CB25" s="305"/>
      <c r="CD25" s="305"/>
      <c r="CE25" s="316"/>
      <c r="CF25" s="318"/>
      <c r="CG25" s="318"/>
      <c r="CH25" s="318"/>
      <c r="CI25" s="305"/>
      <c r="CJ25" s="305"/>
      <c r="CK25" s="305"/>
      <c r="CL25" s="305"/>
      <c r="CM25" s="305"/>
      <c r="CO25" s="305"/>
      <c r="CP25" s="316"/>
      <c r="CQ25" s="318"/>
      <c r="CR25" s="318"/>
      <c r="CS25" s="318"/>
      <c r="CT25" s="305"/>
      <c r="CU25" s="305"/>
      <c r="CV25" s="305"/>
      <c r="CW25" s="305"/>
      <c r="CX25" s="305"/>
    </row>
    <row r="26" spans="1:102" ht="24" customHeight="1" x14ac:dyDescent="0.4">
      <c r="B26" s="1"/>
      <c r="J26" s="767" t="s">
        <v>453</v>
      </c>
      <c r="K26" s="768" t="s">
        <v>239</v>
      </c>
      <c r="L26" s="768" t="s">
        <v>241</v>
      </c>
      <c r="M26" s="768" t="s">
        <v>240</v>
      </c>
      <c r="P26" s="305"/>
      <c r="Q26" s="544" t="s">
        <v>433</v>
      </c>
      <c r="R26" s="545"/>
      <c r="S26" s="317"/>
      <c r="T26" s="317"/>
      <c r="U26" s="305"/>
      <c r="V26" s="305"/>
      <c r="W26" s="305"/>
      <c r="X26" s="305"/>
      <c r="Y26" s="305"/>
      <c r="AA26" s="305"/>
      <c r="AB26" s="544" t="s">
        <v>433</v>
      </c>
      <c r="AC26" s="545"/>
      <c r="AD26" s="317"/>
      <c r="AE26" s="317"/>
      <c r="AF26" s="305"/>
      <c r="AG26" s="305"/>
      <c r="AH26" s="305"/>
      <c r="AI26" s="305"/>
      <c r="AJ26" s="305"/>
      <c r="AL26" s="305"/>
      <c r="AM26" s="544" t="s">
        <v>433</v>
      </c>
      <c r="AN26" s="545"/>
      <c r="AO26" s="317"/>
      <c r="AP26" s="317"/>
      <c r="AQ26" s="305"/>
      <c r="AR26" s="305"/>
      <c r="AS26" s="305"/>
      <c r="AT26" s="305"/>
      <c r="AU26" s="305"/>
      <c r="AW26" s="305"/>
      <c r="AX26" s="544" t="s">
        <v>433</v>
      </c>
      <c r="AY26" s="545"/>
      <c r="AZ26" s="317"/>
      <c r="BA26" s="317"/>
      <c r="BB26" s="305"/>
      <c r="BC26" s="305"/>
      <c r="BD26" s="305"/>
      <c r="BE26" s="305"/>
      <c r="BF26" s="305"/>
      <c r="BH26" s="305"/>
      <c r="BI26" s="544" t="s">
        <v>433</v>
      </c>
      <c r="BJ26" s="545"/>
      <c r="BK26" s="317"/>
      <c r="BL26" s="317"/>
      <c r="BM26" s="305"/>
      <c r="BN26" s="305"/>
      <c r="BO26" s="305"/>
      <c r="BP26" s="305"/>
      <c r="BQ26" s="305"/>
      <c r="BS26" s="305"/>
      <c r="BT26" s="544" t="s">
        <v>433</v>
      </c>
      <c r="BU26" s="545"/>
      <c r="BV26" s="317"/>
      <c r="BW26" s="317"/>
      <c r="BX26" s="305"/>
      <c r="BY26" s="305"/>
      <c r="BZ26" s="305"/>
      <c r="CA26" s="305"/>
      <c r="CB26" s="305"/>
      <c r="CD26" s="305"/>
      <c r="CE26" s="544" t="s">
        <v>433</v>
      </c>
      <c r="CF26" s="545"/>
      <c r="CG26" s="317"/>
      <c r="CH26" s="317"/>
      <c r="CI26" s="305"/>
      <c r="CJ26" s="305"/>
      <c r="CK26" s="305"/>
      <c r="CL26" s="305"/>
      <c r="CM26" s="305"/>
      <c r="CO26" s="305"/>
      <c r="CP26" s="544" t="s">
        <v>433</v>
      </c>
      <c r="CQ26" s="545"/>
      <c r="CR26" s="317"/>
      <c r="CS26" s="317"/>
      <c r="CT26" s="305"/>
      <c r="CU26" s="305"/>
      <c r="CV26" s="305"/>
      <c r="CW26" s="305"/>
      <c r="CX26" s="305"/>
    </row>
    <row r="27" spans="1:102" ht="16.5" customHeight="1" thickBot="1" x14ac:dyDescent="0.45">
      <c r="B27" s="1"/>
      <c r="J27" s="312" t="s">
        <v>242</v>
      </c>
      <c r="K27" s="304" t="s">
        <v>243</v>
      </c>
      <c r="L27" s="304" t="s">
        <v>244</v>
      </c>
      <c r="M27" s="304" t="s">
        <v>245</v>
      </c>
      <c r="O27" s="303"/>
      <c r="P27" s="305"/>
      <c r="Q27" s="322"/>
      <c r="R27" s="545"/>
      <c r="S27" s="317"/>
      <c r="T27" s="317"/>
      <c r="U27" s="305"/>
      <c r="V27" s="305"/>
      <c r="W27" s="305"/>
      <c r="X27" s="305"/>
      <c r="Y27" s="305"/>
      <c r="AA27" s="305"/>
      <c r="AB27" s="566"/>
      <c r="AC27" s="567"/>
      <c r="AD27" s="568"/>
      <c r="AE27" s="568"/>
      <c r="AF27" s="305"/>
      <c r="AG27" s="305"/>
      <c r="AH27" s="305"/>
      <c r="AI27" s="305"/>
      <c r="AJ27" s="305"/>
      <c r="AL27" s="305"/>
      <c r="AQ27" s="305"/>
      <c r="AR27" s="305"/>
      <c r="AS27" s="305"/>
      <c r="AT27" s="305"/>
      <c r="AU27" s="305"/>
      <c r="AW27" s="305"/>
      <c r="AX27" s="574"/>
      <c r="AY27" s="545"/>
      <c r="AZ27" s="317"/>
      <c r="BA27" s="317"/>
      <c r="BB27" s="305"/>
      <c r="BC27" s="305"/>
      <c r="BD27" s="305"/>
      <c r="BE27" s="305"/>
      <c r="BF27" s="305"/>
      <c r="BH27" s="305"/>
      <c r="BI27" s="574"/>
      <c r="BJ27" s="545"/>
      <c r="BK27" s="317"/>
      <c r="BL27" s="317"/>
      <c r="BM27" s="305"/>
      <c r="BN27" s="305"/>
      <c r="BO27" s="305"/>
      <c r="BP27" s="305"/>
      <c r="BQ27" s="305"/>
      <c r="BS27" s="305"/>
      <c r="BT27" s="574"/>
      <c r="BU27" s="545"/>
      <c r="BV27" s="317"/>
      <c r="BW27" s="317"/>
      <c r="BX27" s="305"/>
      <c r="BY27" s="305"/>
      <c r="BZ27" s="305"/>
      <c r="CA27" s="305"/>
      <c r="CB27" s="305"/>
      <c r="CD27" s="305"/>
      <c r="CE27" s="571"/>
      <c r="CF27" s="572"/>
      <c r="CG27" s="571"/>
      <c r="CH27" s="571"/>
      <c r="CI27" s="305"/>
      <c r="CJ27" s="305"/>
      <c r="CK27" s="305"/>
      <c r="CL27" s="305"/>
      <c r="CM27" s="305"/>
      <c r="CO27" s="305"/>
      <c r="CP27" s="571"/>
      <c r="CQ27" s="572"/>
      <c r="CR27" s="571"/>
      <c r="CS27" s="571"/>
      <c r="CT27" s="305"/>
      <c r="CU27" s="305"/>
      <c r="CV27" s="305"/>
      <c r="CW27" s="305"/>
      <c r="CX27" s="305"/>
    </row>
    <row r="28" spans="1:102" ht="30" customHeight="1" thickBot="1" x14ac:dyDescent="0.6">
      <c r="A28" s="628" t="s">
        <v>478</v>
      </c>
      <c r="B28" s="958"/>
      <c r="C28" s="959"/>
      <c r="D28" s="959"/>
      <c r="P28" s="152"/>
      <c r="Q28" s="548"/>
      <c r="R28" s="549" t="s">
        <v>425</v>
      </c>
      <c r="S28" s="549"/>
      <c r="T28" s="549" t="s">
        <v>434</v>
      </c>
      <c r="U28" s="550"/>
      <c r="V28" s="318"/>
      <c r="W28" s="551"/>
      <c r="X28" s="305"/>
      <c r="Y28" s="549" t="s">
        <v>429</v>
      </c>
      <c r="AA28" s="152"/>
      <c r="AB28" s="548"/>
      <c r="AC28" s="549" t="s">
        <v>425</v>
      </c>
      <c r="AD28" s="549"/>
      <c r="AE28" s="549" t="s">
        <v>434</v>
      </c>
      <c r="AF28" s="550"/>
      <c r="AG28" s="550"/>
      <c r="AH28" s="549" t="s">
        <v>429</v>
      </c>
      <c r="AI28" s="305"/>
      <c r="AJ28" s="305"/>
      <c r="AL28" s="152"/>
      <c r="AM28" s="548"/>
      <c r="AN28" s="549" t="s">
        <v>425</v>
      </c>
      <c r="AO28" s="549"/>
      <c r="AP28" s="549" t="s">
        <v>434</v>
      </c>
      <c r="AQ28" s="549" t="s">
        <v>429</v>
      </c>
      <c r="AR28" s="318"/>
      <c r="AT28" s="305"/>
      <c r="AU28" s="305"/>
      <c r="AW28" s="152"/>
      <c r="AX28" s="548"/>
      <c r="AY28" s="549" t="s">
        <v>425</v>
      </c>
      <c r="AZ28" s="549"/>
      <c r="BA28" s="549" t="s">
        <v>434</v>
      </c>
      <c r="BB28" s="550"/>
      <c r="BC28" s="318"/>
      <c r="BD28" s="549" t="s">
        <v>429</v>
      </c>
      <c r="BE28" s="305"/>
      <c r="BF28" s="305"/>
      <c r="BH28" s="152"/>
      <c r="BI28" s="548"/>
      <c r="BJ28" s="549" t="s">
        <v>425</v>
      </c>
      <c r="BK28" s="549"/>
      <c r="BL28" s="549" t="s">
        <v>434</v>
      </c>
      <c r="BM28" s="550"/>
      <c r="BN28" s="318"/>
      <c r="BO28" s="549" t="s">
        <v>429</v>
      </c>
      <c r="BP28" s="305"/>
      <c r="BQ28" s="305"/>
      <c r="BS28" s="152"/>
      <c r="BT28" s="548"/>
      <c r="BU28" s="549" t="s">
        <v>425</v>
      </c>
      <c r="BV28" s="549"/>
      <c r="BW28" s="549" t="s">
        <v>434</v>
      </c>
      <c r="BX28" s="550"/>
      <c r="BY28" s="318"/>
      <c r="BZ28" s="549" t="s">
        <v>429</v>
      </c>
      <c r="CA28" s="305"/>
      <c r="CB28" s="305"/>
      <c r="CD28" s="152"/>
      <c r="CE28" s="548"/>
      <c r="CF28" s="549" t="s">
        <v>425</v>
      </c>
      <c r="CG28" s="549"/>
      <c r="CH28" s="549" t="s">
        <v>434</v>
      </c>
      <c r="CI28" s="550"/>
      <c r="CJ28" s="318"/>
      <c r="CK28" s="549" t="s">
        <v>429</v>
      </c>
      <c r="CL28" s="305"/>
      <c r="CM28" s="305"/>
      <c r="CO28" s="152"/>
      <c r="CP28" s="548"/>
      <c r="CQ28" s="549" t="s">
        <v>425</v>
      </c>
      <c r="CR28" s="549"/>
      <c r="CS28" s="549" t="s">
        <v>434</v>
      </c>
      <c r="CT28" s="550"/>
      <c r="CU28" s="318"/>
      <c r="CV28" s="549" t="s">
        <v>429</v>
      </c>
      <c r="CW28" s="305"/>
      <c r="CX28" s="305"/>
    </row>
    <row r="29" spans="1:102" ht="30" customHeight="1" thickBot="1" x14ac:dyDescent="0.45">
      <c r="A29" s="629" t="s">
        <v>578</v>
      </c>
      <c r="B29" s="960"/>
      <c r="C29" s="961"/>
      <c r="D29" s="962"/>
      <c r="Q29" s="322" t="s">
        <v>435</v>
      </c>
      <c r="R29" s="545" t="e">
        <f>R10-4</f>
        <v>#DIV/0!</v>
      </c>
      <c r="S29" s="545"/>
      <c r="T29" s="545">
        <f>T10-4</f>
        <v>-59</v>
      </c>
      <c r="U29" s="324"/>
      <c r="V29" s="324"/>
      <c r="X29" s="305"/>
      <c r="Y29" s="546">
        <f>R16-Y33</f>
        <v>0</v>
      </c>
      <c r="AB29" s="322" t="s">
        <v>435</v>
      </c>
      <c r="AC29" s="545" t="e">
        <f>AC10-4</f>
        <v>#DIV/0!</v>
      </c>
      <c r="AD29" s="545"/>
      <c r="AE29" s="545">
        <f>AE10-4</f>
        <v>-59</v>
      </c>
      <c r="AF29" s="324"/>
      <c r="AG29" s="324"/>
      <c r="AH29" s="546">
        <f>AC16-AH33</f>
        <v>0</v>
      </c>
      <c r="AI29" s="305"/>
      <c r="AJ29" s="305"/>
      <c r="AM29" s="322" t="s">
        <v>435</v>
      </c>
      <c r="AN29" s="545" t="e">
        <f>AN10-4</f>
        <v>#DIV/0!</v>
      </c>
      <c r="AO29" s="545"/>
      <c r="AP29" s="545">
        <f>AP10-4</f>
        <v>-59</v>
      </c>
      <c r="AQ29" s="546">
        <f>AN16-AQ33</f>
        <v>0</v>
      </c>
      <c r="AR29" s="324"/>
      <c r="AT29" s="305"/>
      <c r="AU29" s="305"/>
      <c r="AX29" s="322" t="s">
        <v>435</v>
      </c>
      <c r="AY29" s="545" t="e">
        <f>AY10-4</f>
        <v>#DIV/0!</v>
      </c>
      <c r="AZ29" s="545"/>
      <c r="BA29" s="545">
        <f>BA10-4</f>
        <v>-59</v>
      </c>
      <c r="BB29" s="324"/>
      <c r="BC29" s="324"/>
      <c r="BD29" s="546">
        <f>AY16-BD33</f>
        <v>0</v>
      </c>
      <c r="BE29" s="305"/>
      <c r="BF29" s="305"/>
      <c r="BI29" s="322" t="s">
        <v>435</v>
      </c>
      <c r="BJ29" s="545" t="e">
        <f>BJ10-4</f>
        <v>#DIV/0!</v>
      </c>
      <c r="BK29" s="545"/>
      <c r="BL29" s="545">
        <f>BL10-4</f>
        <v>-59</v>
      </c>
      <c r="BM29" s="324"/>
      <c r="BN29" s="324"/>
      <c r="BO29" s="546">
        <f>BJ16-BO33</f>
        <v>0</v>
      </c>
      <c r="BP29" s="305"/>
      <c r="BQ29" s="305"/>
      <c r="BT29" s="322" t="s">
        <v>435</v>
      </c>
      <c r="BU29" s="545" t="e">
        <f>BU10-4</f>
        <v>#DIV/0!</v>
      </c>
      <c r="BV29" s="545"/>
      <c r="BW29" s="545">
        <f>BW10-4</f>
        <v>-59</v>
      </c>
      <c r="BX29" s="324"/>
      <c r="BY29" s="324"/>
      <c r="BZ29" s="546">
        <f>BU16-BZ33</f>
        <v>0</v>
      </c>
      <c r="CA29" s="305"/>
      <c r="CB29" s="305"/>
      <c r="CE29" s="322" t="s">
        <v>435</v>
      </c>
      <c r="CF29" s="545" t="e">
        <f>CF10-4</f>
        <v>#DIV/0!</v>
      </c>
      <c r="CG29" s="545"/>
      <c r="CH29" s="545">
        <f>CH10-4</f>
        <v>-59</v>
      </c>
      <c r="CI29" s="324"/>
      <c r="CJ29" s="324"/>
      <c r="CK29" s="546">
        <f>CF16-CK33</f>
        <v>0</v>
      </c>
      <c r="CL29" s="305"/>
      <c r="CM29" s="305"/>
      <c r="CP29" s="322" t="s">
        <v>435</v>
      </c>
      <c r="CQ29" s="545" t="e">
        <f>CQ10-4</f>
        <v>#DIV/0!</v>
      </c>
      <c r="CR29" s="545"/>
      <c r="CS29" s="545">
        <f>CS10-4</f>
        <v>-59</v>
      </c>
      <c r="CT29" s="324"/>
      <c r="CU29" s="324"/>
      <c r="CV29" s="546">
        <f>CQ16-CV33</f>
        <v>0</v>
      </c>
      <c r="CW29" s="305"/>
      <c r="CX29" s="305"/>
    </row>
    <row r="30" spans="1:102" ht="30" customHeight="1" x14ac:dyDescent="0.55000000000000004">
      <c r="A30" s="627" t="s">
        <v>579</v>
      </c>
      <c r="B30" s="626" t="b">
        <v>0</v>
      </c>
      <c r="P30"/>
      <c r="Q30" s="318"/>
      <c r="R30" s="318"/>
      <c r="S30" s="318"/>
      <c r="T30" s="318"/>
      <c r="U30" s="318"/>
      <c r="V30" s="318"/>
      <c r="W30" s="318"/>
      <c r="X30" s="305"/>
      <c r="Y30" s="305"/>
      <c r="AA30"/>
      <c r="AB30" s="318"/>
      <c r="AC30" s="318"/>
      <c r="AD30" s="318"/>
      <c r="AE30" s="318"/>
      <c r="AF30" s="318"/>
      <c r="AG30" s="318"/>
      <c r="AH30" s="318"/>
      <c r="AI30" s="305"/>
      <c r="AJ30" s="305"/>
      <c r="AL30" s="152"/>
      <c r="AM30" s="318"/>
      <c r="AN30" s="318"/>
      <c r="AO30" s="318"/>
      <c r="AP30" s="318"/>
      <c r="AQ30" s="318"/>
      <c r="AR30" s="318"/>
      <c r="AT30" s="305"/>
      <c r="AU30" s="305"/>
      <c r="AW30"/>
      <c r="AX30" s="318"/>
      <c r="AY30" s="318"/>
      <c r="AZ30" s="318"/>
      <c r="BA30" s="318"/>
      <c r="BB30" s="318"/>
      <c r="BC30" s="318"/>
      <c r="BD30" s="318"/>
      <c r="BE30" s="305"/>
      <c r="BF30" s="305"/>
      <c r="BH30"/>
      <c r="BI30" s="318"/>
      <c r="BJ30" s="318"/>
      <c r="BK30" s="318"/>
      <c r="BL30" s="318"/>
      <c r="BM30" s="318"/>
      <c r="BN30" s="318"/>
      <c r="BO30" s="318"/>
      <c r="BP30" s="305"/>
      <c r="BQ30" s="305"/>
      <c r="BS30"/>
      <c r="BT30" s="318"/>
      <c r="BU30" s="318"/>
      <c r="BV30" s="318"/>
      <c r="BW30" s="318"/>
      <c r="BX30" s="318"/>
      <c r="BY30" s="318"/>
      <c r="BZ30" s="318"/>
      <c r="CA30" s="305"/>
      <c r="CB30" s="305"/>
      <c r="CD30"/>
      <c r="CE30" s="318"/>
      <c r="CF30" s="318"/>
      <c r="CG30" s="318"/>
      <c r="CH30" s="318"/>
      <c r="CI30" s="318"/>
      <c r="CJ30" s="318"/>
      <c r="CK30" s="318"/>
      <c r="CL30" s="305"/>
      <c r="CM30" s="305"/>
      <c r="CO30"/>
      <c r="CP30" s="318"/>
      <c r="CQ30" s="318"/>
      <c r="CR30" s="318"/>
      <c r="CS30" s="318"/>
      <c r="CT30" s="318"/>
      <c r="CU30" s="318"/>
      <c r="CV30" s="318"/>
      <c r="CW30" s="305"/>
      <c r="CX30" s="305"/>
    </row>
    <row r="31" spans="1:102" s="196" customFormat="1" ht="30" customHeight="1" x14ac:dyDescent="0.35">
      <c r="A31" s="627" t="s">
        <v>580</v>
      </c>
      <c r="B31" s="626" t="b">
        <v>0</v>
      </c>
      <c r="P31" s="87"/>
      <c r="Q31" s="324"/>
      <c r="R31" s="951" t="s">
        <v>436</v>
      </c>
      <c r="S31" s="952"/>
      <c r="T31" s="953">
        <f>B17</f>
        <v>0</v>
      </c>
      <c r="U31" s="953"/>
      <c r="V31" s="953"/>
      <c r="W31" s="953"/>
      <c r="X31" s="953"/>
      <c r="Y31" s="953"/>
      <c r="AA31" s="87"/>
      <c r="AB31" s="324"/>
      <c r="AC31" s="951" t="s">
        <v>436</v>
      </c>
      <c r="AD31" s="952"/>
      <c r="AE31" s="953">
        <f>C17</f>
        <v>0</v>
      </c>
      <c r="AF31" s="953"/>
      <c r="AG31" s="953"/>
      <c r="AH31" s="953"/>
      <c r="AI31" s="319"/>
      <c r="AJ31" s="319"/>
      <c r="AL31" s="319"/>
      <c r="AM31" s="324"/>
      <c r="AN31" s="951" t="s">
        <v>436</v>
      </c>
      <c r="AO31" s="952"/>
      <c r="AP31" s="953">
        <f>D17</f>
        <v>0</v>
      </c>
      <c r="AQ31" s="953"/>
      <c r="AR31" s="476"/>
      <c r="AT31" s="319"/>
      <c r="AU31" s="319"/>
      <c r="AW31" s="87"/>
      <c r="AX31" s="324"/>
      <c r="AY31" s="951" t="s">
        <v>436</v>
      </c>
      <c r="AZ31" s="952"/>
      <c r="BA31" s="1001">
        <f>E17</f>
        <v>0</v>
      </c>
      <c r="BB31" s="1002"/>
      <c r="BC31" s="1002"/>
      <c r="BD31" s="1003"/>
      <c r="BE31" s="319"/>
      <c r="BF31" s="319"/>
      <c r="BH31" s="87"/>
      <c r="BI31" s="324"/>
      <c r="BJ31" s="951" t="s">
        <v>436</v>
      </c>
      <c r="BK31" s="952"/>
      <c r="BL31" s="1001">
        <f>F17</f>
        <v>0</v>
      </c>
      <c r="BM31" s="1002"/>
      <c r="BN31" s="1002"/>
      <c r="BO31" s="1003"/>
      <c r="BP31" s="319"/>
      <c r="BQ31" s="319"/>
      <c r="BS31" s="87"/>
      <c r="BT31" s="324"/>
      <c r="BU31" s="951" t="s">
        <v>436</v>
      </c>
      <c r="BV31" s="952"/>
      <c r="BW31" s="953">
        <f>G17</f>
        <v>0</v>
      </c>
      <c r="BX31" s="953"/>
      <c r="BY31" s="953"/>
      <c r="BZ31" s="953"/>
      <c r="CA31" s="319"/>
      <c r="CB31" s="319"/>
      <c r="CD31" s="87"/>
      <c r="CE31" s="324"/>
      <c r="CF31" s="951" t="s">
        <v>436</v>
      </c>
      <c r="CG31" s="952"/>
      <c r="CH31" s="953">
        <f>H16</f>
        <v>0</v>
      </c>
      <c r="CI31" s="953"/>
      <c r="CJ31" s="953"/>
      <c r="CK31" s="953"/>
      <c r="CL31" s="319"/>
      <c r="CM31" s="319"/>
      <c r="CO31" s="87"/>
      <c r="CP31" s="324"/>
      <c r="CQ31" s="984" t="s">
        <v>436</v>
      </c>
      <c r="CR31" s="984"/>
      <c r="CS31" s="953">
        <f>I17</f>
        <v>0</v>
      </c>
      <c r="CT31" s="953"/>
      <c r="CU31" s="953"/>
      <c r="CV31" s="953"/>
      <c r="CW31" s="319"/>
      <c r="CX31" s="319"/>
    </row>
    <row r="32" spans="1:102" ht="30" customHeight="1" x14ac:dyDescent="0.55000000000000004">
      <c r="A32" s="627" t="s">
        <v>581</v>
      </c>
      <c r="B32" s="626" t="b">
        <v>0</v>
      </c>
      <c r="P32"/>
      <c r="Q32" s="318"/>
      <c r="R32" s="318"/>
      <c r="S32" s="318"/>
      <c r="T32" s="318"/>
      <c r="U32" s="318"/>
      <c r="V32" s="318"/>
      <c r="W32" s="318"/>
      <c r="X32" s="310"/>
      <c r="Y32" s="310"/>
      <c r="AA32"/>
      <c r="AB32" s="318"/>
      <c r="AC32" s="318"/>
      <c r="AD32" s="318"/>
      <c r="AE32" s="318"/>
      <c r="AF32" s="318"/>
      <c r="AG32" s="318"/>
      <c r="AH32" s="318"/>
      <c r="AI32" s="310"/>
      <c r="AJ32" s="310"/>
      <c r="AL32" s="152"/>
      <c r="AM32" s="318"/>
      <c r="AN32" s="318"/>
      <c r="AO32" s="318"/>
      <c r="AP32" s="318"/>
      <c r="AQ32" s="318"/>
      <c r="AR32" s="318"/>
      <c r="AT32" s="310"/>
      <c r="AU32" s="310"/>
      <c r="AW32"/>
      <c r="AX32" s="318"/>
      <c r="AY32" s="318"/>
      <c r="AZ32" s="318"/>
      <c r="BA32" s="318"/>
      <c r="BB32" s="318"/>
      <c r="BC32" s="318"/>
      <c r="BD32" s="318"/>
      <c r="BE32" s="310"/>
      <c r="BF32" s="310"/>
      <c r="BH32"/>
      <c r="BI32" s="318"/>
      <c r="BJ32" s="318"/>
      <c r="BK32" s="318"/>
      <c r="BL32" s="318"/>
      <c r="BM32" s="318"/>
      <c r="BN32" s="318"/>
      <c r="BO32" s="318"/>
      <c r="BP32" s="310"/>
      <c r="BQ32" s="310"/>
      <c r="BS32"/>
      <c r="BT32" s="318"/>
      <c r="BU32" s="318"/>
      <c r="BV32" s="318"/>
      <c r="BW32" s="318"/>
      <c r="BX32" s="318"/>
      <c r="BY32" s="318"/>
      <c r="BZ32" s="318"/>
      <c r="CA32" s="310"/>
      <c r="CB32" s="310"/>
      <c r="CD32"/>
      <c r="CE32" s="318"/>
      <c r="CF32" s="318"/>
      <c r="CG32" s="318"/>
      <c r="CH32" s="318"/>
      <c r="CI32" s="318"/>
      <c r="CJ32" s="318"/>
      <c r="CK32" s="318"/>
      <c r="CL32" s="310"/>
      <c r="CM32" s="310"/>
      <c r="CO32"/>
      <c r="CP32" s="318"/>
      <c r="CQ32" s="318"/>
      <c r="CR32" s="318"/>
      <c r="CS32" s="318"/>
      <c r="CT32" s="318"/>
      <c r="CU32" s="318"/>
      <c r="CV32" s="318"/>
      <c r="CW32" s="310"/>
      <c r="CX32" s="310"/>
    </row>
    <row r="33" spans="1:102" ht="30" customHeight="1" x14ac:dyDescent="0.35">
      <c r="P33"/>
      <c r="Q33" s="325" t="s">
        <v>437</v>
      </c>
      <c r="R33" s="326" t="e">
        <f>R29-4</f>
        <v>#DIV/0!</v>
      </c>
      <c r="S33" s="327"/>
      <c r="T33" s="326">
        <f>T29-4</f>
        <v>-63</v>
      </c>
      <c r="U33" s="328"/>
      <c r="V33" s="328"/>
      <c r="W33" s="19"/>
      <c r="X33" s="87"/>
      <c r="Y33" s="497">
        <f>B23*B9</f>
        <v>0</v>
      </c>
      <c r="Z33" s="196"/>
      <c r="AA33" s="87"/>
      <c r="AB33" s="325" t="s">
        <v>437</v>
      </c>
      <c r="AC33" s="326" t="e">
        <f>AC29-4</f>
        <v>#DIV/0!</v>
      </c>
      <c r="AD33" s="327"/>
      <c r="AE33" s="326">
        <f>AE29-4</f>
        <v>-63</v>
      </c>
      <c r="AF33" s="328"/>
      <c r="AG33" s="328"/>
      <c r="AH33" s="329">
        <f>C23*C9</f>
        <v>0</v>
      </c>
      <c r="AI33" s="87"/>
      <c r="AJ33" s="87"/>
      <c r="AK33" s="196"/>
      <c r="AL33" s="319"/>
      <c r="AM33" s="325" t="s">
        <v>437</v>
      </c>
      <c r="AN33" s="326" t="e">
        <f>AN29-4</f>
        <v>#DIV/0!</v>
      </c>
      <c r="AO33" s="327"/>
      <c r="AP33" s="326">
        <f>AP29-4</f>
        <v>-63</v>
      </c>
      <c r="AQ33" s="329">
        <f>D23*D9</f>
        <v>0</v>
      </c>
      <c r="AR33" s="328"/>
      <c r="AT33" s="87"/>
      <c r="AU33" s="87"/>
      <c r="AV33" s="196"/>
      <c r="AW33" s="87"/>
      <c r="AX33" s="325" t="s">
        <v>437</v>
      </c>
      <c r="AY33" s="326" t="e">
        <f>AY29-4</f>
        <v>#DIV/0!</v>
      </c>
      <c r="AZ33" s="327"/>
      <c r="BA33" s="326">
        <f>BA29-4</f>
        <v>-63</v>
      </c>
      <c r="BB33" s="328"/>
      <c r="BC33" s="328"/>
      <c r="BD33" s="329">
        <f>E23*E9</f>
        <v>0</v>
      </c>
      <c r="BE33" s="87"/>
      <c r="BF33" s="87"/>
      <c r="BG33" s="196"/>
      <c r="BH33" s="87"/>
      <c r="BI33" s="344" t="s">
        <v>437</v>
      </c>
      <c r="BJ33" s="345" t="e">
        <f>BJ29-4</f>
        <v>#DIV/0!</v>
      </c>
      <c r="BK33" s="346"/>
      <c r="BL33" s="345">
        <f>BL29-4</f>
        <v>-63</v>
      </c>
      <c r="BM33" s="347"/>
      <c r="BN33" s="347"/>
      <c r="BO33" s="348">
        <f>F23*F9</f>
        <v>0</v>
      </c>
      <c r="BP33" s="87"/>
      <c r="BQ33" s="87"/>
      <c r="BR33" s="196"/>
      <c r="BS33" s="87"/>
      <c r="BT33" s="325" t="s">
        <v>437</v>
      </c>
      <c r="BU33" s="326" t="e">
        <f>BU29-4</f>
        <v>#DIV/0!</v>
      </c>
      <c r="BV33" s="327"/>
      <c r="BW33" s="326">
        <f>BW29-4</f>
        <v>-63</v>
      </c>
      <c r="BX33" s="328"/>
      <c r="BY33" s="328"/>
      <c r="BZ33" s="329">
        <f>G23*G9</f>
        <v>0</v>
      </c>
      <c r="CA33" s="87"/>
      <c r="CB33" s="87"/>
      <c r="CC33" s="196"/>
      <c r="CD33" s="87"/>
      <c r="CE33" s="325" t="s">
        <v>437</v>
      </c>
      <c r="CF33" s="326" t="e">
        <f>CF29-4</f>
        <v>#DIV/0!</v>
      </c>
      <c r="CG33" s="327"/>
      <c r="CH33" s="326">
        <f>CH29-4</f>
        <v>-63</v>
      </c>
      <c r="CI33" s="328"/>
      <c r="CJ33" s="328"/>
      <c r="CK33" s="329">
        <f>H23*H9</f>
        <v>0</v>
      </c>
      <c r="CL33"/>
      <c r="CM33"/>
      <c r="CO33" s="87"/>
      <c r="CP33" s="322" t="s">
        <v>437</v>
      </c>
      <c r="CQ33" s="330" t="e">
        <f>CQ29-4</f>
        <v>#DIV/0!</v>
      </c>
      <c r="CR33" s="322"/>
      <c r="CS33" s="330">
        <f>CS29-4</f>
        <v>-63</v>
      </c>
      <c r="CT33" s="324"/>
      <c r="CU33" s="324"/>
      <c r="CV33" s="317">
        <f>I23*I9</f>
        <v>0</v>
      </c>
      <c r="CW33"/>
      <c r="CX33"/>
    </row>
    <row r="34" spans="1:102" ht="25" customHeight="1" x14ac:dyDescent="0.35">
      <c r="X34"/>
      <c r="Y34"/>
      <c r="AI34"/>
      <c r="AJ34"/>
      <c r="AT34"/>
      <c r="AU34"/>
      <c r="BE34"/>
      <c r="BF34"/>
      <c r="BP34"/>
      <c r="BQ34"/>
      <c r="CA34"/>
      <c r="CB34"/>
      <c r="CL34"/>
      <c r="CM34"/>
    </row>
    <row r="35" spans="1:102" ht="25" customHeight="1" x14ac:dyDescent="0.65">
      <c r="B35" s="972" t="s">
        <v>576</v>
      </c>
      <c r="C35" s="973"/>
      <c r="D35" s="973"/>
      <c r="E35" s="973"/>
      <c r="F35" s="973"/>
      <c r="G35" s="973"/>
      <c r="H35" s="973"/>
      <c r="I35" s="974"/>
      <c r="X35"/>
      <c r="Y35"/>
      <c r="AI35"/>
      <c r="AJ35"/>
      <c r="AT35"/>
      <c r="AU35"/>
      <c r="BE35"/>
      <c r="BF35"/>
      <c r="BP35"/>
      <c r="BQ35"/>
      <c r="CA35"/>
      <c r="CB35"/>
      <c r="CL35"/>
      <c r="CM35"/>
    </row>
    <row r="36" spans="1:102" ht="25" customHeight="1" x14ac:dyDescent="0.35">
      <c r="B36" s="616">
        <f>IFERROR(((B11/B14)*B10/1000000*0.05)*B9, 0)</f>
        <v>0</v>
      </c>
      <c r="C36" s="616">
        <f t="shared" ref="C36:I36" si="7">IFERROR(((C11/C14)*C10/1000000*0.05)*C9, 0)</f>
        <v>0</v>
      </c>
      <c r="D36" s="616">
        <f t="shared" si="7"/>
        <v>0</v>
      </c>
      <c r="E36" s="616">
        <f t="shared" si="7"/>
        <v>0</v>
      </c>
      <c r="F36" s="616">
        <f t="shared" si="7"/>
        <v>0</v>
      </c>
      <c r="G36" s="616">
        <f t="shared" si="7"/>
        <v>0</v>
      </c>
      <c r="H36" s="616">
        <f t="shared" si="7"/>
        <v>0</v>
      </c>
      <c r="I36" s="616">
        <f t="shared" si="7"/>
        <v>0</v>
      </c>
      <c r="X36"/>
      <c r="Y36"/>
      <c r="AI36"/>
      <c r="AJ36"/>
      <c r="AT36"/>
      <c r="AU36"/>
      <c r="BE36"/>
      <c r="BF36"/>
      <c r="BP36"/>
      <c r="BQ36"/>
      <c r="CA36"/>
      <c r="CB36"/>
      <c r="CL36"/>
      <c r="CM36"/>
    </row>
    <row r="37" spans="1:102" ht="25" customHeight="1" x14ac:dyDescent="0.35">
      <c r="P37"/>
      <c r="Q37" s="311"/>
      <c r="R37"/>
      <c r="S37"/>
      <c r="T37"/>
      <c r="U37"/>
      <c r="V37"/>
      <c r="W37"/>
      <c r="X37"/>
      <c r="Y37"/>
      <c r="AA37"/>
      <c r="AB37" s="311"/>
      <c r="AC37"/>
      <c r="AD37"/>
      <c r="AE37"/>
      <c r="AF37"/>
      <c r="AG37"/>
      <c r="AH37"/>
      <c r="AI37"/>
      <c r="AJ37"/>
    </row>
    <row r="39" spans="1:102" ht="14.5" x14ac:dyDescent="0.35">
      <c r="I39"/>
    </row>
    <row r="43" spans="1:102" ht="19" thickBot="1" x14ac:dyDescent="0.5">
      <c r="N43" s="435"/>
      <c r="AD43" s="308"/>
      <c r="AE43" s="308"/>
      <c r="AF43" s="307"/>
    </row>
    <row r="44" spans="1:102" ht="30" customHeight="1" x14ac:dyDescent="0.45">
      <c r="A44" s="367">
        <f>B4</f>
        <v>0</v>
      </c>
      <c r="B44" s="990">
        <f>B5</f>
        <v>0</v>
      </c>
      <c r="C44" s="991"/>
      <c r="D44" s="985" t="e">
        <f>_xlfn.IMAGE("https://api.qrserver.com/v1/create-qr-code/?size=150x150&amp;data=" &amp; _xlfn.ENCODEURL(#REF!), "QR", 1)</f>
        <v>#REF!</v>
      </c>
      <c r="E44" s="985"/>
      <c r="N44" s="436" t="s">
        <v>498</v>
      </c>
      <c r="O44" s="437"/>
      <c r="P44" s="437"/>
      <c r="Q44" s="437"/>
      <c r="R44" s="438"/>
      <c r="AD44" s="308"/>
      <c r="AE44" s="308"/>
      <c r="AF44" s="307"/>
    </row>
    <row r="45" spans="1:102" ht="30" customHeight="1" x14ac:dyDescent="0.35">
      <c r="A45" s="335" t="s">
        <v>457</v>
      </c>
      <c r="B45" s="987" t="str">
        <f>E4</f>
        <v>Job #</v>
      </c>
      <c r="C45" s="988"/>
      <c r="D45" s="985"/>
      <c r="E45" s="985"/>
      <c r="F45" s="152"/>
      <c r="G45" s="152"/>
      <c r="H45" s="152"/>
      <c r="I45" s="152"/>
      <c r="J45" s="152"/>
      <c r="K45" s="152"/>
      <c r="L45" s="152"/>
      <c r="M45" s="152"/>
      <c r="N45" s="439" t="s">
        <v>134</v>
      </c>
      <c r="O45" s="440" t="s">
        <v>541</v>
      </c>
      <c r="P45" s="440">
        <v>2</v>
      </c>
      <c r="Q45" s="440" t="s">
        <v>545</v>
      </c>
      <c r="R45" s="441" t="s">
        <v>547</v>
      </c>
      <c r="AD45" s="8"/>
      <c r="AE45" s="8"/>
    </row>
    <row r="46" spans="1:102" ht="30" customHeight="1" x14ac:dyDescent="0.45">
      <c r="A46" s="343">
        <f>B4</f>
        <v>0</v>
      </c>
      <c r="B46" s="989">
        <f>F4</f>
        <v>0</v>
      </c>
      <c r="C46" s="989"/>
      <c r="D46" s="986"/>
      <c r="E46" s="986"/>
      <c r="F46" s="152"/>
      <c r="G46" s="152"/>
      <c r="H46" s="152"/>
      <c r="I46" s="152"/>
      <c r="J46" s="152"/>
      <c r="K46" s="152"/>
      <c r="L46" s="152"/>
      <c r="M46" s="152"/>
      <c r="N46" s="439" t="s">
        <v>538</v>
      </c>
      <c r="O46" s="440" t="s">
        <v>543</v>
      </c>
      <c r="P46" s="440">
        <v>3</v>
      </c>
      <c r="Q46" s="440" t="s">
        <v>546</v>
      </c>
      <c r="R46" s="441" t="s">
        <v>548</v>
      </c>
      <c r="AD46" s="308"/>
      <c r="AE46" s="178"/>
      <c r="AF46" s="307"/>
    </row>
    <row r="47" spans="1:102" ht="30" customHeight="1" x14ac:dyDescent="0.35">
      <c r="A47" s="332" t="s">
        <v>454</v>
      </c>
      <c r="B47" s="333" t="s">
        <v>455</v>
      </c>
      <c r="C47" s="333" t="s">
        <v>456</v>
      </c>
      <c r="D47" s="333" t="s">
        <v>440</v>
      </c>
      <c r="E47" s="334" t="s">
        <v>458</v>
      </c>
      <c r="F47" s="152"/>
      <c r="G47" s="152"/>
      <c r="H47" s="152"/>
      <c r="I47" s="152"/>
      <c r="J47" s="152"/>
      <c r="K47" s="152"/>
      <c r="L47" s="152"/>
      <c r="M47" s="152"/>
      <c r="N47" s="439" t="s">
        <v>497</v>
      </c>
      <c r="O47" s="440" t="s">
        <v>542</v>
      </c>
      <c r="P47" s="440">
        <v>4</v>
      </c>
      <c r="Q47" s="440"/>
      <c r="R47" s="441"/>
      <c r="AD47" s="8"/>
      <c r="AE47" s="8"/>
    </row>
    <row r="48" spans="1:102" ht="30" customHeight="1" x14ac:dyDescent="0.45">
      <c r="A48" s="336">
        <f>B8</f>
        <v>0</v>
      </c>
      <c r="B48" s="337">
        <f>T33</f>
        <v>-63</v>
      </c>
      <c r="C48" s="337" t="e">
        <f>R33</f>
        <v>#DIV/0!</v>
      </c>
      <c r="D48" s="338">
        <f>B23</f>
        <v>0</v>
      </c>
      <c r="E48" s="323"/>
      <c r="F48" s="152"/>
      <c r="G48" s="152"/>
      <c r="H48" s="152"/>
      <c r="I48" s="152"/>
      <c r="J48" s="152"/>
      <c r="K48" s="152"/>
      <c r="L48" s="152"/>
      <c r="M48" s="152"/>
      <c r="N48" s="439" t="s">
        <v>135</v>
      </c>
      <c r="O48" s="440" t="s">
        <v>544</v>
      </c>
      <c r="P48" s="440"/>
      <c r="Q48" s="440"/>
      <c r="R48" s="441"/>
      <c r="AD48" s="308"/>
      <c r="AE48" s="308"/>
      <c r="AF48" s="307"/>
    </row>
    <row r="49" spans="1:32" ht="30" customHeight="1" x14ac:dyDescent="0.35">
      <c r="A49" s="336">
        <f>C8</f>
        <v>0</v>
      </c>
      <c r="B49" s="337">
        <f>AE33</f>
        <v>-63</v>
      </c>
      <c r="C49" s="337" t="e">
        <f>AC33</f>
        <v>#DIV/0!</v>
      </c>
      <c r="D49" s="338">
        <f>C23</f>
        <v>0</v>
      </c>
      <c r="E49" s="323"/>
      <c r="F49" s="152"/>
      <c r="G49" s="152"/>
      <c r="H49" s="152"/>
      <c r="I49" s="152"/>
      <c r="J49" s="152"/>
      <c r="K49" s="152"/>
      <c r="L49" s="152"/>
      <c r="M49" s="152"/>
      <c r="N49" s="439" t="s">
        <v>540</v>
      </c>
      <c r="O49" s="440"/>
      <c r="P49" s="440"/>
      <c r="Q49" s="440"/>
      <c r="R49" s="441"/>
      <c r="AD49" s="8"/>
      <c r="AE49" s="8"/>
    </row>
    <row r="50" spans="1:32" ht="30" customHeight="1" x14ac:dyDescent="0.45">
      <c r="A50" s="336">
        <f>D8</f>
        <v>0</v>
      </c>
      <c r="B50" s="337">
        <f>AP33</f>
        <v>-63</v>
      </c>
      <c r="C50" s="337" t="e">
        <f>AN33</f>
        <v>#DIV/0!</v>
      </c>
      <c r="D50" s="338">
        <f>D23</f>
        <v>0</v>
      </c>
      <c r="E50" s="323"/>
      <c r="F50" s="152"/>
      <c r="G50" s="152"/>
      <c r="H50" s="152"/>
      <c r="I50" s="152"/>
      <c r="J50" s="152"/>
      <c r="K50" s="152"/>
      <c r="L50" s="152"/>
      <c r="M50" s="152"/>
      <c r="N50" s="439" t="s">
        <v>133</v>
      </c>
      <c r="O50" s="440"/>
      <c r="P50" s="440"/>
      <c r="Q50" s="440"/>
      <c r="R50" s="441"/>
      <c r="AD50" s="308"/>
      <c r="AE50" s="308"/>
      <c r="AF50" s="307"/>
    </row>
    <row r="51" spans="1:32" ht="30" customHeight="1" thickBot="1" x14ac:dyDescent="0.5">
      <c r="A51" s="336">
        <f>E8</f>
        <v>0</v>
      </c>
      <c r="B51" s="337">
        <f>BA33</f>
        <v>-63</v>
      </c>
      <c r="C51" s="337" t="e">
        <f>AY33</f>
        <v>#DIV/0!</v>
      </c>
      <c r="D51" s="338">
        <f>E23</f>
        <v>0</v>
      </c>
      <c r="E51" s="323"/>
      <c r="F51" s="152"/>
      <c r="G51" s="152"/>
      <c r="H51" s="152"/>
      <c r="I51" s="152"/>
      <c r="J51" s="152"/>
      <c r="K51" s="152"/>
      <c r="L51" s="152"/>
      <c r="M51" s="152"/>
      <c r="N51" s="442" t="s">
        <v>539</v>
      </c>
      <c r="O51" s="443"/>
      <c r="P51" s="443"/>
      <c r="Q51" s="443"/>
      <c r="R51" s="444"/>
      <c r="AD51" s="308"/>
      <c r="AE51" s="308"/>
      <c r="AF51" s="307"/>
    </row>
    <row r="52" spans="1:32" ht="30" customHeight="1" x14ac:dyDescent="0.35">
      <c r="A52" s="336">
        <f>F8</f>
        <v>0</v>
      </c>
      <c r="B52" s="337">
        <f>BL33</f>
        <v>-63</v>
      </c>
      <c r="C52" s="337" t="e">
        <f>BJ33</f>
        <v>#DIV/0!</v>
      </c>
      <c r="D52" s="338">
        <f>F23</f>
        <v>0</v>
      </c>
      <c r="E52" s="323"/>
      <c r="F52" s="152"/>
      <c r="G52" s="152"/>
      <c r="H52" s="152"/>
      <c r="I52" s="152"/>
      <c r="J52" s="152"/>
      <c r="K52" s="152"/>
      <c r="L52" s="152"/>
      <c r="M52" s="152"/>
      <c r="N52" s="434"/>
    </row>
    <row r="53" spans="1:32" ht="30" customHeight="1" x14ac:dyDescent="0.35">
      <c r="A53" s="336">
        <f>G8</f>
        <v>0</v>
      </c>
      <c r="B53" s="337">
        <f>BW33</f>
        <v>-63</v>
      </c>
      <c r="C53" s="337" t="e">
        <f>BU33</f>
        <v>#DIV/0!</v>
      </c>
      <c r="D53" s="338">
        <f>G23</f>
        <v>0</v>
      </c>
      <c r="E53" s="323"/>
      <c r="F53" s="152"/>
      <c r="G53" s="152"/>
      <c r="H53" s="152"/>
      <c r="I53" s="152"/>
      <c r="J53" s="152"/>
      <c r="K53" s="152"/>
      <c r="L53" s="152"/>
      <c r="M53" s="152"/>
      <c r="N53" s="152"/>
    </row>
    <row r="54" spans="1:32" ht="30" customHeight="1" x14ac:dyDescent="0.35">
      <c r="A54" s="336">
        <f>H8</f>
        <v>0</v>
      </c>
      <c r="B54" s="337">
        <f>CH33</f>
        <v>-63</v>
      </c>
      <c r="C54" s="337" t="e">
        <f>CF33</f>
        <v>#DIV/0!</v>
      </c>
      <c r="D54" s="339">
        <f>H23</f>
        <v>0</v>
      </c>
      <c r="E54" s="323"/>
      <c r="F54" s="152"/>
      <c r="G54" s="152"/>
      <c r="H54" s="152"/>
      <c r="I54" s="152"/>
      <c r="J54" s="152"/>
      <c r="K54" s="152"/>
      <c r="L54" s="152"/>
      <c r="M54" s="152"/>
      <c r="N54" s="152"/>
    </row>
    <row r="55" spans="1:32" ht="30" customHeight="1" x14ac:dyDescent="0.35">
      <c r="A55" s="320"/>
      <c r="B55" s="320"/>
      <c r="C55" s="320"/>
      <c r="D55" s="320"/>
      <c r="E55" s="320"/>
      <c r="F55" s="152"/>
      <c r="G55" s="152"/>
      <c r="H55" s="152"/>
      <c r="I55" s="152"/>
      <c r="J55" s="152"/>
      <c r="K55" s="152"/>
      <c r="L55" s="152"/>
      <c r="M55" s="152"/>
      <c r="N55" s="152"/>
    </row>
    <row r="56" spans="1:32" ht="30" customHeight="1" x14ac:dyDescent="0.35">
      <c r="A56" s="320"/>
      <c r="B56" s="320"/>
      <c r="C56" s="320"/>
      <c r="D56" s="320"/>
      <c r="E56" s="320"/>
      <c r="F56" s="152"/>
      <c r="G56" s="152"/>
      <c r="H56" s="152"/>
      <c r="I56" s="152"/>
      <c r="J56" s="152"/>
      <c r="K56" s="152"/>
      <c r="L56" s="152"/>
      <c r="M56" s="152"/>
      <c r="N56" s="152"/>
    </row>
    <row r="57" spans="1:32" ht="30" customHeight="1" x14ac:dyDescent="0.35">
      <c r="A57" s="320"/>
      <c r="B57" s="320"/>
      <c r="C57" s="320"/>
      <c r="D57" s="320"/>
      <c r="E57" s="320"/>
      <c r="F57" s="152"/>
      <c r="G57" s="152"/>
      <c r="H57" s="152"/>
      <c r="I57" s="152"/>
      <c r="J57" s="152"/>
      <c r="K57" s="152"/>
      <c r="L57" s="152"/>
      <c r="M57" s="152"/>
      <c r="N57" s="152"/>
    </row>
    <row r="58" spans="1:32" ht="30" customHeight="1" x14ac:dyDescent="0.35">
      <c r="A58" s="320"/>
      <c r="B58" s="320"/>
      <c r="C58" s="320"/>
      <c r="D58" s="320"/>
      <c r="E58" s="320"/>
      <c r="F58" s="152"/>
      <c r="G58" s="152"/>
      <c r="H58" s="152"/>
      <c r="I58" s="152"/>
      <c r="J58" s="152"/>
      <c r="K58" s="152"/>
      <c r="L58" s="152"/>
      <c r="M58" s="152"/>
      <c r="N58" s="152"/>
    </row>
    <row r="59" spans="1:32" ht="30" customHeight="1" x14ac:dyDescent="0.35">
      <c r="A59" s="320"/>
      <c r="B59" s="320"/>
      <c r="C59" s="320"/>
      <c r="D59" s="320"/>
      <c r="E59" s="320"/>
      <c r="F59" s="152"/>
      <c r="G59" s="152"/>
      <c r="H59" s="152"/>
      <c r="I59" s="152"/>
      <c r="J59" s="152"/>
      <c r="K59" s="152"/>
      <c r="L59" s="152"/>
      <c r="M59" s="152"/>
      <c r="N59" s="152"/>
    </row>
    <row r="60" spans="1:32" ht="30" customHeight="1" x14ac:dyDescent="0.3">
      <c r="A60" s="8"/>
      <c r="C60" s="8"/>
      <c r="D60" s="8"/>
      <c r="E60" s="8"/>
    </row>
    <row r="61" spans="1:32" ht="30" customHeight="1" x14ac:dyDescent="0.3"/>
    <row r="62" spans="1:32" ht="30" customHeight="1" x14ac:dyDescent="0.3"/>
    <row r="63" spans="1:32" ht="30" customHeight="1" x14ac:dyDescent="0.3"/>
    <row r="64" spans="1:32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</sheetData>
  <sheetProtection selectLockedCells="1"/>
  <mergeCells count="79">
    <mergeCell ref="AX1:BA1"/>
    <mergeCell ref="BW2:BW3"/>
    <mergeCell ref="CF3:CG3"/>
    <mergeCell ref="BJ3:BK3"/>
    <mergeCell ref="BL2:BL3"/>
    <mergeCell ref="BI1:BL1"/>
    <mergeCell ref="BT1:BW1"/>
    <mergeCell ref="CE1:CH1"/>
    <mergeCell ref="BA2:BA3"/>
    <mergeCell ref="AY3:AZ3"/>
    <mergeCell ref="BU31:BV31"/>
    <mergeCell ref="B3:D3"/>
    <mergeCell ref="B6:I6"/>
    <mergeCell ref="H2:I5"/>
    <mergeCell ref="B4:D4"/>
    <mergeCell ref="T2:T3"/>
    <mergeCell ref="AC3:AD3"/>
    <mergeCell ref="BU3:BV3"/>
    <mergeCell ref="AY31:AZ31"/>
    <mergeCell ref="BL31:BO31"/>
    <mergeCell ref="BA31:BD31"/>
    <mergeCell ref="BJ31:BK31"/>
    <mergeCell ref="BD2:BD3"/>
    <mergeCell ref="AP31:AQ31"/>
    <mergeCell ref="R3:S3"/>
    <mergeCell ref="Y2:Y3"/>
    <mergeCell ref="CQ31:CR31"/>
    <mergeCell ref="CS31:CV31"/>
    <mergeCell ref="CV2:CV3"/>
    <mergeCell ref="D44:E46"/>
    <mergeCell ref="B45:C45"/>
    <mergeCell ref="B46:C46"/>
    <mergeCell ref="B44:C44"/>
    <mergeCell ref="CQ5:CS5"/>
    <mergeCell ref="CH31:CK31"/>
    <mergeCell ref="BW31:BZ31"/>
    <mergeCell ref="CF31:CG31"/>
    <mergeCell ref="BD5:BD7"/>
    <mergeCell ref="CK5:CK7"/>
    <mergeCell ref="CF5:CH5"/>
    <mergeCell ref="BU5:BW5"/>
    <mergeCell ref="BZ5:BZ7"/>
    <mergeCell ref="AM1:AP1"/>
    <mergeCell ref="CV5:CV7"/>
    <mergeCell ref="CQ3:CR3"/>
    <mergeCell ref="CS2:CS3"/>
    <mergeCell ref="BO5:BO7"/>
    <mergeCell ref="BJ5:BL5"/>
    <mergeCell ref="AY5:BA5"/>
    <mergeCell ref="AQ5:AQ7"/>
    <mergeCell ref="CP1:CS1"/>
    <mergeCell ref="BO2:BO3"/>
    <mergeCell ref="CK2:CK3"/>
    <mergeCell ref="BZ2:BZ3"/>
    <mergeCell ref="AQ2:AQ3"/>
    <mergeCell ref="CH2:CH3"/>
    <mergeCell ref="AN3:AO3"/>
    <mergeCell ref="AP2:AP3"/>
    <mergeCell ref="AH2:AH3"/>
    <mergeCell ref="J6:K6"/>
    <mergeCell ref="R5:T5"/>
    <mergeCell ref="Y5:Y7"/>
    <mergeCell ref="AN5:AP5"/>
    <mergeCell ref="AN31:AO31"/>
    <mergeCell ref="AC5:AE5"/>
    <mergeCell ref="AH5:AH7"/>
    <mergeCell ref="AE31:AH31"/>
    <mergeCell ref="B35:I35"/>
    <mergeCell ref="H1:I1"/>
    <mergeCell ref="A1:F1"/>
    <mergeCell ref="R31:S31"/>
    <mergeCell ref="AC31:AD31"/>
    <mergeCell ref="T31:Y31"/>
    <mergeCell ref="Q1:T1"/>
    <mergeCell ref="AB1:AE1"/>
    <mergeCell ref="AE2:AE3"/>
    <mergeCell ref="B28:D28"/>
    <mergeCell ref="B29:D29"/>
    <mergeCell ref="J17:M17"/>
  </mergeCells>
  <phoneticPr fontId="32" type="noConversion"/>
  <conditionalFormatting sqref="H1 T2 AE2 AP2 BA2">
    <cfRule type="expression" dxfId="32" priority="17">
      <formula>ISNUMBER(SEARCH("SHIP", H1))</formula>
    </cfRule>
    <cfRule type="expression" dxfId="31" priority="19">
      <formula>ISNUMBER(SEARCH("INSTALL", H1))</formula>
    </cfRule>
    <cfRule type="expression" dxfId="30" priority="18">
      <formula>ISNUMBER(SEARCH("PICKUP", H1))</formula>
    </cfRule>
  </conditionalFormatting>
  <conditionalFormatting sqref="Q33:Y33">
    <cfRule type="expression" dxfId="29" priority="53">
      <formula>$Y33&gt;=1</formula>
    </cfRule>
    <cfRule type="expression" dxfId="28" priority="52">
      <formula>$Y33=0</formula>
    </cfRule>
  </conditionalFormatting>
  <conditionalFormatting sqref="AB33:AH33">
    <cfRule type="expression" dxfId="27" priority="44">
      <formula>$AH33=0</formula>
    </cfRule>
    <cfRule type="expression" dxfId="26" priority="45">
      <formula>$AH33&gt;=1</formula>
    </cfRule>
  </conditionalFormatting>
  <conditionalFormatting sqref="AM33:AQ33">
    <cfRule type="expression" dxfId="25" priority="3">
      <formula>$AQ$33=0</formula>
    </cfRule>
    <cfRule type="expression" dxfId="24" priority="4">
      <formula>$AQ$33&gt;=1</formula>
    </cfRule>
  </conditionalFormatting>
  <conditionalFormatting sqref="AX33:BD33">
    <cfRule type="expression" dxfId="23" priority="41">
      <formula>$BD33&gt;=1</formula>
    </cfRule>
    <cfRule type="expression" dxfId="22" priority="40">
      <formula>$BD33=0</formula>
    </cfRule>
  </conditionalFormatting>
  <conditionalFormatting sqref="BI33:BO33">
    <cfRule type="expression" dxfId="21" priority="57">
      <formula>$BO$33=0</formula>
    </cfRule>
    <cfRule type="expression" dxfId="20" priority="58">
      <formula>$BO$33&gt;=1</formula>
    </cfRule>
  </conditionalFormatting>
  <conditionalFormatting sqref="BL2">
    <cfRule type="expression" dxfId="19" priority="15">
      <formula>ISNUMBER(SEARCH("PICKUP", BL2))</formula>
    </cfRule>
    <cfRule type="expression" dxfId="18" priority="14">
      <formula>ISNUMBER(SEARCH("SHIP", BL2))</formula>
    </cfRule>
    <cfRule type="expression" dxfId="17" priority="16">
      <formula>ISNUMBER(SEARCH("INSTALL", BL2))</formula>
    </cfRule>
  </conditionalFormatting>
  <conditionalFormatting sqref="BT33:BZ33">
    <cfRule type="expression" dxfId="16" priority="36">
      <formula>$BZ33=0</formula>
    </cfRule>
    <cfRule type="expression" dxfId="15" priority="37">
      <formula>$BZ33&gt;=1</formula>
    </cfRule>
  </conditionalFormatting>
  <conditionalFormatting sqref="BW2">
    <cfRule type="expression" dxfId="14" priority="13">
      <formula>ISNUMBER(SEARCH("INSTALL", BW2))</formula>
    </cfRule>
    <cfRule type="expression" dxfId="13" priority="12">
      <formula>ISNUMBER(SEARCH("PICKUP", BW2))</formula>
    </cfRule>
    <cfRule type="expression" dxfId="12" priority="11">
      <formula>ISNUMBER(SEARCH("SHIP", BW2))</formula>
    </cfRule>
  </conditionalFormatting>
  <conditionalFormatting sqref="CE33:CJ33">
    <cfRule type="expression" dxfId="11" priority="34">
      <formula>$CK33=0</formula>
    </cfRule>
    <cfRule type="expression" dxfId="10" priority="35">
      <formula>$CK33&gt;=1</formula>
    </cfRule>
  </conditionalFormatting>
  <conditionalFormatting sqref="CH2">
    <cfRule type="expression" dxfId="9" priority="8">
      <formula>ISNUMBER(SEARCH("SHIP", CH2))</formula>
    </cfRule>
    <cfRule type="expression" dxfId="8" priority="10">
      <formula>ISNUMBER(SEARCH("INSTALL", CH2))</formula>
    </cfRule>
    <cfRule type="expression" dxfId="7" priority="9">
      <formula>ISNUMBER(SEARCH("PICKUP", CH2))</formula>
    </cfRule>
  </conditionalFormatting>
  <conditionalFormatting sqref="CK33">
    <cfRule type="expression" dxfId="6" priority="2">
      <formula>$BZ33&gt;=1</formula>
    </cfRule>
    <cfRule type="expression" dxfId="5" priority="1">
      <formula>$BZ33=0</formula>
    </cfRule>
  </conditionalFormatting>
  <conditionalFormatting sqref="CP33:CV33">
    <cfRule type="expression" dxfId="4" priority="32">
      <formula>$CK33=0</formula>
    </cfRule>
    <cfRule type="expression" dxfId="3" priority="33">
      <formula>$CK33&gt;=1</formula>
    </cfRule>
  </conditionalFormatting>
  <conditionalFormatting sqref="CS2">
    <cfRule type="expression" dxfId="2" priority="5">
      <formula>ISNUMBER(SEARCH("SHIP", CS2))</formula>
    </cfRule>
    <cfRule type="expression" dxfId="1" priority="6">
      <formula>ISNUMBER(SEARCH("PICKUP", CS2))</formula>
    </cfRule>
    <cfRule type="expression" dxfId="0" priority="7">
      <formula>ISNUMBER(SEARCH("INSTALL", CS2))</formula>
    </cfRule>
  </conditionalFormatting>
  <dataValidations count="6">
    <dataValidation type="list" allowBlank="1" showInputMessage="1" showErrorMessage="1" sqref="B17:I17" xr:uid="{4CD06967-891E-4FB3-8AC0-FD1BB972A456}">
      <formula1>$N$43:$N$51</formula1>
    </dataValidation>
    <dataValidation type="list" allowBlank="1" showInputMessage="1" showErrorMessage="1" sqref="B19:I19" xr:uid="{0949E67E-321F-4421-88D5-1DFB9DE5FC1A}">
      <formula1>$O$44:$O$48</formula1>
    </dataValidation>
    <dataValidation type="list" allowBlank="1" showInputMessage="1" showErrorMessage="1" sqref="B14:I14" xr:uid="{73885793-5545-45E1-BE6D-9314C76E284F}">
      <formula1>$P$44:$P$47</formula1>
    </dataValidation>
    <dataValidation type="list" allowBlank="1" showInputMessage="1" showErrorMessage="1" sqref="B22:I22" xr:uid="{757AB680-2813-40E4-B17C-260A96CD58D2}">
      <formula1>$R$44:$R$46</formula1>
    </dataValidation>
    <dataValidation type="list" allowBlank="1" showInputMessage="1" showErrorMessage="1" sqref="B13:I13" xr:uid="{6EA2317A-7A89-4E2D-859B-8D0BB771E1D2}">
      <formula1>$Q$45:$Q$46</formula1>
    </dataValidation>
    <dataValidation type="list" allowBlank="1" showInputMessage="1" showErrorMessage="1" sqref="B21:I21" xr:uid="{571E3144-3A19-4C91-BF3C-2E560C000CCE}">
      <formula1>$Q$44:$Q$46</formula1>
    </dataValidation>
  </dataValidations>
  <printOptions horizontalCentered="1" verticalCentered="1"/>
  <pageMargins left="0.23622047244094491" right="0.23622047244094491" top="0.19685039370078741" bottom="0.19685039370078741" header="7.874015748031496E-2" footer="0.19685039370078741"/>
  <pageSetup paperSize="9" orientation="portrait" errors="blank" r:id="rId1"/>
  <rowBreaks count="1" manualBreakCount="1">
    <brk id="40" max="16383" man="1"/>
  </rowBreaks>
  <colBreaks count="1" manualBreakCount="1">
    <brk id="22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1:H25"/>
  <sheetViews>
    <sheetView topLeftCell="A4" workbookViewId="0">
      <selection activeCell="E21" sqref="E21"/>
    </sheetView>
  </sheetViews>
  <sheetFormatPr defaultColWidth="9.1796875" defaultRowHeight="13" x14ac:dyDescent="0.3"/>
  <cols>
    <col min="1" max="1" width="11.453125" style="1" customWidth="1"/>
    <col min="2" max="2" width="21.81640625" style="1" customWidth="1"/>
    <col min="3" max="3" width="12" style="1" customWidth="1"/>
    <col min="4" max="4" width="13.81640625" style="1" customWidth="1"/>
    <col min="5" max="5" width="9.81640625" style="1" customWidth="1"/>
    <col min="6" max="6" width="10.81640625" style="1" customWidth="1"/>
    <col min="7" max="7" width="9.1796875" style="1"/>
    <col min="8" max="8" width="12.453125" style="1" customWidth="1"/>
    <col min="9" max="16384" width="9.1796875" style="1"/>
  </cols>
  <sheetData>
    <row r="1" spans="1:8" ht="63" customHeight="1" x14ac:dyDescent="0.3"/>
    <row r="2" spans="1:8" ht="33" customHeight="1" x14ac:dyDescent="0.45">
      <c r="A2" s="161" t="s">
        <v>246</v>
      </c>
      <c r="B2" s="160"/>
      <c r="C2" s="160"/>
      <c r="D2" s="160"/>
      <c r="E2" s="160"/>
      <c r="F2" s="160"/>
    </row>
    <row r="3" spans="1:8" ht="26.25" customHeight="1" x14ac:dyDescent="0.3">
      <c r="A3" s="33" t="s">
        <v>37</v>
      </c>
      <c r="B3" s="921" t="e">
        <f>#REF!</f>
        <v>#REF!</v>
      </c>
      <c r="C3" s="1007"/>
      <c r="D3" s="1007"/>
      <c r="E3" s="1007"/>
      <c r="F3" s="1008"/>
    </row>
    <row r="4" spans="1:8" ht="24" customHeight="1" x14ac:dyDescent="0.3">
      <c r="A4" s="35" t="s">
        <v>38</v>
      </c>
      <c r="B4" s="921" t="e">
        <f>#REF!</f>
        <v>#REF!</v>
      </c>
      <c r="C4" s="937"/>
      <c r="D4" s="96" t="s">
        <v>39</v>
      </c>
      <c r="E4" s="815" t="e">
        <f>#REF!</f>
        <v>#REF!</v>
      </c>
      <c r="F4" s="817"/>
      <c r="G4" s="1009"/>
      <c r="H4" s="1009"/>
    </row>
    <row r="5" spans="1:8" ht="24.75" customHeight="1" x14ac:dyDescent="0.3">
      <c r="A5" s="81" t="s">
        <v>40</v>
      </c>
      <c r="B5" s="1010" t="e">
        <f>#REF!</f>
        <v>#REF!</v>
      </c>
      <c r="C5" s="1011"/>
      <c r="D5" s="1011"/>
      <c r="E5" s="1011"/>
      <c r="F5" s="1012"/>
    </row>
    <row r="6" spans="1:8" ht="33" customHeight="1" x14ac:dyDescent="0.3">
      <c r="A6" s="13"/>
      <c r="B6" s="82" t="s">
        <v>247</v>
      </c>
      <c r="C6" s="82" t="s">
        <v>197</v>
      </c>
      <c r="D6" s="82" t="s">
        <v>248</v>
      </c>
      <c r="E6" s="83" t="s">
        <v>249</v>
      </c>
      <c r="F6" s="83" t="s">
        <v>250</v>
      </c>
      <c r="G6" s="40" t="s">
        <v>251</v>
      </c>
      <c r="H6" s="40" t="s">
        <v>46</v>
      </c>
    </row>
    <row r="7" spans="1:8" ht="20.149999999999999" customHeight="1" x14ac:dyDescent="0.3">
      <c r="A7" s="75" t="s">
        <v>252</v>
      </c>
      <c r="B7" s="26" t="s">
        <v>253</v>
      </c>
      <c r="C7" s="75" t="s">
        <v>254</v>
      </c>
      <c r="D7" s="75"/>
      <c r="E7" s="75"/>
      <c r="F7" s="26"/>
      <c r="G7" s="184">
        <v>60</v>
      </c>
      <c r="H7" s="78">
        <f>E7*G7</f>
        <v>0</v>
      </c>
    </row>
    <row r="8" spans="1:8" ht="20.149999999999999" customHeight="1" x14ac:dyDescent="0.3">
      <c r="A8" s="26"/>
      <c r="B8" s="26" t="s">
        <v>255</v>
      </c>
      <c r="C8" s="75" t="s">
        <v>254</v>
      </c>
      <c r="D8" s="75"/>
      <c r="E8" s="75"/>
      <c r="F8" s="26"/>
      <c r="G8" s="185">
        <v>60</v>
      </c>
      <c r="H8" s="78">
        <f t="shared" ref="H8:H23" si="0">E8*G8</f>
        <v>0</v>
      </c>
    </row>
    <row r="9" spans="1:8" ht="20.149999999999999" customHeight="1" x14ac:dyDescent="0.3">
      <c r="A9" s="26"/>
      <c r="B9" s="75" t="s">
        <v>256</v>
      </c>
      <c r="C9" s="75"/>
      <c r="D9" s="75"/>
      <c r="E9" s="75"/>
      <c r="F9" s="26"/>
      <c r="G9" s="184">
        <v>95</v>
      </c>
      <c r="H9" s="78">
        <f t="shared" si="0"/>
        <v>0</v>
      </c>
    </row>
    <row r="10" spans="1:8" ht="20.149999999999999" customHeight="1" x14ac:dyDescent="0.3">
      <c r="A10" s="75" t="s">
        <v>257</v>
      </c>
      <c r="B10" s="26" t="s">
        <v>258</v>
      </c>
      <c r="C10" s="75" t="s">
        <v>259</v>
      </c>
      <c r="D10" s="75"/>
      <c r="E10" s="75"/>
      <c r="F10" s="26"/>
      <c r="G10" s="184">
        <v>30</v>
      </c>
      <c r="H10" s="78">
        <f t="shared" si="0"/>
        <v>0</v>
      </c>
    </row>
    <row r="11" spans="1:8" ht="20.149999999999999" customHeight="1" x14ac:dyDescent="0.3">
      <c r="A11" s="26"/>
      <c r="B11" s="26" t="s">
        <v>260</v>
      </c>
      <c r="C11" s="75" t="s">
        <v>259</v>
      </c>
      <c r="D11" s="75"/>
      <c r="E11" s="75"/>
      <c r="F11" s="26"/>
      <c r="G11" s="185">
        <v>30</v>
      </c>
      <c r="H11" s="78">
        <f t="shared" si="0"/>
        <v>0</v>
      </c>
    </row>
    <row r="12" spans="1:8" ht="20.149999999999999" customHeight="1" x14ac:dyDescent="0.3">
      <c r="A12" s="163" t="s">
        <v>261</v>
      </c>
      <c r="B12" s="75" t="s">
        <v>262</v>
      </c>
      <c r="C12" s="76"/>
      <c r="D12" s="75" t="s">
        <v>263</v>
      </c>
      <c r="E12" s="75"/>
      <c r="F12" s="26"/>
      <c r="G12" s="185">
        <v>97.5</v>
      </c>
      <c r="H12" s="78">
        <f t="shared" si="0"/>
        <v>0</v>
      </c>
    </row>
    <row r="13" spans="1:8" ht="20.149999999999999" customHeight="1" x14ac:dyDescent="0.3">
      <c r="A13" s="26"/>
      <c r="B13" s="75" t="s">
        <v>264</v>
      </c>
      <c r="C13" s="76" t="s">
        <v>265</v>
      </c>
      <c r="D13" s="75" t="s">
        <v>266</v>
      </c>
      <c r="E13" s="75"/>
      <c r="F13" s="26"/>
      <c r="G13" s="185">
        <v>125</v>
      </c>
      <c r="H13" s="78">
        <f t="shared" si="0"/>
        <v>0</v>
      </c>
    </row>
    <row r="14" spans="1:8" ht="20.149999999999999" customHeight="1" x14ac:dyDescent="0.3">
      <c r="A14" s="4"/>
      <c r="B14" s="75" t="s">
        <v>267</v>
      </c>
      <c r="C14" s="76" t="s">
        <v>265</v>
      </c>
      <c r="D14" s="182" t="s">
        <v>268</v>
      </c>
      <c r="E14" s="182"/>
      <c r="F14" s="4"/>
      <c r="G14" s="186">
        <v>125</v>
      </c>
      <c r="H14" s="78">
        <f t="shared" si="0"/>
        <v>0</v>
      </c>
    </row>
    <row r="15" spans="1:8" ht="20.149999999999999" customHeight="1" x14ac:dyDescent="0.3">
      <c r="A15" s="4"/>
      <c r="B15" s="182" t="s">
        <v>533</v>
      </c>
      <c r="C15" s="183"/>
      <c r="D15" s="182"/>
      <c r="E15" s="182"/>
      <c r="F15" s="4"/>
      <c r="G15" s="186">
        <v>650</v>
      </c>
      <c r="H15" s="78">
        <f t="shared" si="0"/>
        <v>0</v>
      </c>
    </row>
    <row r="16" spans="1:8" ht="20.149999999999999" customHeight="1" x14ac:dyDescent="0.3">
      <c r="A16" s="4"/>
      <c r="B16" s="182" t="s">
        <v>534</v>
      </c>
      <c r="C16" s="183"/>
      <c r="D16" s="182"/>
      <c r="E16" s="182"/>
      <c r="F16" s="4"/>
      <c r="G16" s="186">
        <v>700</v>
      </c>
      <c r="H16" s="78">
        <f t="shared" si="0"/>
        <v>0</v>
      </c>
    </row>
    <row r="17" spans="1:8" ht="20.149999999999999" customHeight="1" x14ac:dyDescent="0.3">
      <c r="A17" s="163" t="s">
        <v>269</v>
      </c>
      <c r="B17" s="182"/>
      <c r="C17" s="183"/>
      <c r="D17" s="182"/>
      <c r="E17" s="182"/>
      <c r="F17" s="4"/>
      <c r="G17" s="186"/>
      <c r="H17" s="78">
        <f t="shared" si="0"/>
        <v>0</v>
      </c>
    </row>
    <row r="18" spans="1:8" ht="20.149999999999999" customHeight="1" x14ac:dyDescent="0.3">
      <c r="A18" s="75"/>
      <c r="B18" s="75" t="s">
        <v>270</v>
      </c>
      <c r="C18" s="26"/>
      <c r="D18" s="26" t="s">
        <v>271</v>
      </c>
      <c r="E18" s="26"/>
      <c r="F18" s="26"/>
      <c r="G18" s="185">
        <v>240</v>
      </c>
      <c r="H18" s="78">
        <f t="shared" si="0"/>
        <v>0</v>
      </c>
    </row>
    <row r="19" spans="1:8" ht="20.149999999999999" customHeight="1" x14ac:dyDescent="0.3">
      <c r="A19" s="26"/>
      <c r="B19" s="75" t="s">
        <v>272</v>
      </c>
      <c r="C19" s="26"/>
      <c r="D19" s="26" t="s">
        <v>273</v>
      </c>
      <c r="E19" s="26"/>
      <c r="F19" s="26"/>
      <c r="G19" s="185">
        <v>275</v>
      </c>
      <c r="H19" s="78">
        <f t="shared" si="0"/>
        <v>0</v>
      </c>
    </row>
    <row r="20" spans="1:8" ht="20.149999999999999" customHeight="1" x14ac:dyDescent="0.3">
      <c r="A20" s="26"/>
      <c r="B20" s="75" t="s">
        <v>274</v>
      </c>
      <c r="C20" s="26"/>
      <c r="D20" s="26" t="s">
        <v>275</v>
      </c>
      <c r="E20" s="26"/>
      <c r="F20" s="26"/>
      <c r="G20" s="185">
        <v>275</v>
      </c>
      <c r="H20" s="78">
        <f t="shared" si="0"/>
        <v>0</v>
      </c>
    </row>
    <row r="21" spans="1:8" ht="20.149999999999999" customHeight="1" x14ac:dyDescent="0.3">
      <c r="A21" s="163" t="s">
        <v>276</v>
      </c>
      <c r="B21" s="75" t="s">
        <v>277</v>
      </c>
      <c r="C21" s="40" t="s">
        <v>278</v>
      </c>
      <c r="D21" s="75" t="s">
        <v>279</v>
      </c>
      <c r="E21" s="75"/>
      <c r="F21" s="26"/>
      <c r="G21" s="185">
        <v>230</v>
      </c>
      <c r="H21" s="78">
        <f t="shared" si="0"/>
        <v>0</v>
      </c>
    </row>
    <row r="22" spans="1:8" ht="20.149999999999999" customHeight="1" x14ac:dyDescent="0.3">
      <c r="A22" s="182"/>
      <c r="B22" s="182" t="s">
        <v>280</v>
      </c>
      <c r="C22" s="302" t="s">
        <v>281</v>
      </c>
      <c r="D22" s="182" t="s">
        <v>279</v>
      </c>
      <c r="E22" s="182"/>
      <c r="F22" s="4"/>
      <c r="G22" s="186">
        <v>230</v>
      </c>
      <c r="H22" s="78">
        <f t="shared" si="0"/>
        <v>0</v>
      </c>
    </row>
    <row r="23" spans="1:8" ht="20.149999999999999" customHeight="1" x14ac:dyDescent="0.3">
      <c r="A23" s="296" t="s">
        <v>282</v>
      </c>
      <c r="B23" s="297"/>
      <c r="C23" s="298"/>
      <c r="D23" s="297"/>
      <c r="E23" s="297"/>
      <c r="F23" s="299"/>
      <c r="G23" s="300">
        <v>25</v>
      </c>
      <c r="H23" s="78">
        <f t="shared" si="0"/>
        <v>0</v>
      </c>
    </row>
    <row r="24" spans="1:8" ht="16.5" customHeight="1" x14ac:dyDescent="0.3">
      <c r="A24" s="1005"/>
      <c r="B24" s="1005"/>
      <c r="C24" s="1005"/>
      <c r="D24" s="1005"/>
      <c r="E24" s="1005"/>
      <c r="F24" s="1005"/>
      <c r="G24" s="298" t="s">
        <v>46</v>
      </c>
      <c r="H24" s="301">
        <f>SUM(H7:H23)</f>
        <v>0</v>
      </c>
    </row>
    <row r="25" spans="1:8" ht="16.5" customHeight="1" x14ac:dyDescent="0.3">
      <c r="A25" s="1006"/>
      <c r="B25" s="1006"/>
      <c r="C25" s="1006"/>
      <c r="D25" s="1006"/>
      <c r="E25" s="1006"/>
      <c r="F25" s="1006"/>
    </row>
  </sheetData>
  <mergeCells count="7">
    <mergeCell ref="A24:F24"/>
    <mergeCell ref="A25:F25"/>
    <mergeCell ref="B3:F3"/>
    <mergeCell ref="G4:H4"/>
    <mergeCell ref="B5:F5"/>
    <mergeCell ref="B4:C4"/>
    <mergeCell ref="E4:F4"/>
  </mergeCells>
  <phoneticPr fontId="32" type="noConversion"/>
  <pageMargins left="0.25" right="0.25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38B0B-4C69-482E-B54D-CB7A6D44114C}">
  <sheetPr>
    <tabColor theme="4"/>
  </sheetPr>
  <dimension ref="B3:J49"/>
  <sheetViews>
    <sheetView workbookViewId="0">
      <selection activeCell="T38" sqref="T38"/>
    </sheetView>
  </sheetViews>
  <sheetFormatPr defaultColWidth="9.1796875" defaultRowHeight="13" x14ac:dyDescent="0.3"/>
  <cols>
    <col min="1" max="1" width="9.1796875" style="1"/>
    <col min="2" max="2" width="30.81640625" style="1" customWidth="1"/>
    <col min="3" max="3" width="14.453125" style="1" customWidth="1"/>
    <col min="4" max="4" width="17.453125" style="1" customWidth="1"/>
    <col min="5" max="5" width="13.1796875" style="1" customWidth="1"/>
    <col min="6" max="6" width="13.81640625" style="1" customWidth="1"/>
    <col min="7" max="7" width="15.81640625" style="1" customWidth="1"/>
    <col min="8" max="16384" width="9.1796875" style="1"/>
  </cols>
  <sheetData>
    <row r="3" spans="2:7" ht="50.5" customHeight="1" x14ac:dyDescent="0.3">
      <c r="B3" s="364" t="s">
        <v>467</v>
      </c>
    </row>
    <row r="4" spans="2:7" ht="15.5" x14ac:dyDescent="0.35">
      <c r="B4" s="151"/>
      <c r="C4" s="152"/>
      <c r="D4" s="152"/>
      <c r="E4" s="349" t="s">
        <v>463</v>
      </c>
      <c r="F4" s="349" t="s">
        <v>465</v>
      </c>
      <c r="G4" s="349" t="s">
        <v>464</v>
      </c>
    </row>
    <row r="5" spans="2:7" ht="15.5" x14ac:dyDescent="0.35">
      <c r="B5" s="152" t="s">
        <v>593</v>
      </c>
      <c r="C5" s="152"/>
      <c r="D5" s="152"/>
      <c r="E5" s="350">
        <f>'iRobe WIR'!R33</f>
        <v>0</v>
      </c>
      <c r="F5" s="351">
        <f t="shared" ref="F5:F12" si="0">E5*3/23</f>
        <v>0</v>
      </c>
      <c r="G5" s="350">
        <f t="shared" ref="G5:G12" si="1">E5-(E5*3/23)</f>
        <v>0</v>
      </c>
    </row>
    <row r="6" spans="2:7" ht="15.5" x14ac:dyDescent="0.35">
      <c r="B6" s="152" t="s">
        <v>592</v>
      </c>
      <c r="C6" s="152"/>
      <c r="D6" s="152"/>
      <c r="E6" s="676">
        <f>'I Robe Set Combos'!G57</f>
        <v>0</v>
      </c>
      <c r="F6" s="351">
        <f t="shared" si="0"/>
        <v>0</v>
      </c>
      <c r="G6" s="350">
        <f t="shared" si="1"/>
        <v>0</v>
      </c>
    </row>
    <row r="7" spans="2:7" ht="15.5" x14ac:dyDescent="0.35">
      <c r="B7" s="152" t="s">
        <v>390</v>
      </c>
      <c r="C7" s="152"/>
      <c r="D7" s="152"/>
      <c r="E7" s="350">
        <f>'IR Premium'!B29</f>
        <v>0</v>
      </c>
      <c r="F7" s="351">
        <f t="shared" si="0"/>
        <v>0</v>
      </c>
      <c r="G7" s="350">
        <f t="shared" si="1"/>
        <v>0</v>
      </c>
    </row>
    <row r="8" spans="2:7" ht="15.5" x14ac:dyDescent="0.35">
      <c r="B8" s="152" t="s">
        <v>391</v>
      </c>
      <c r="C8" s="152"/>
      <c r="D8" s="152"/>
      <c r="E8" s="350">
        <f>'Cabinet System'!C72</f>
        <v>0</v>
      </c>
      <c r="F8" s="351">
        <f t="shared" si="0"/>
        <v>0</v>
      </c>
      <c r="G8" s="350">
        <f t="shared" si="1"/>
        <v>0</v>
      </c>
    </row>
    <row r="9" spans="2:7" ht="15.5" x14ac:dyDescent="0.35">
      <c r="B9" s="152" t="s">
        <v>392</v>
      </c>
      <c r="C9" s="152"/>
      <c r="D9" s="152"/>
      <c r="E9" s="350">
        <f>'Linen Slatting'!D30</f>
        <v>0</v>
      </c>
      <c r="F9" s="351">
        <f t="shared" si="0"/>
        <v>0</v>
      </c>
      <c r="G9" s="350">
        <f t="shared" si="1"/>
        <v>0</v>
      </c>
    </row>
    <row r="10" spans="2:7" ht="15.5" x14ac:dyDescent="0.35">
      <c r="B10" s="152" t="s">
        <v>20</v>
      </c>
      <c r="C10" s="152"/>
      <c r="D10" s="152"/>
      <c r="E10" s="350">
        <f>'Sliding Doors'!O23</f>
        <v>0</v>
      </c>
      <c r="F10" s="351">
        <f t="shared" si="0"/>
        <v>0</v>
      </c>
      <c r="G10" s="350">
        <f t="shared" si="1"/>
        <v>0</v>
      </c>
    </row>
    <row r="11" spans="2:7" ht="15.5" x14ac:dyDescent="0.35">
      <c r="B11" s="152" t="s">
        <v>316</v>
      </c>
      <c r="C11" s="152"/>
      <c r="D11" s="152"/>
      <c r="E11" s="350">
        <f>Accessories!H24</f>
        <v>0</v>
      </c>
      <c r="F11" s="351">
        <f t="shared" si="0"/>
        <v>0</v>
      </c>
      <c r="G11" s="350">
        <f t="shared" si="1"/>
        <v>0</v>
      </c>
    </row>
    <row r="12" spans="2:7" ht="15.5" x14ac:dyDescent="0.35">
      <c r="B12" s="405" t="s">
        <v>393</v>
      </c>
      <c r="C12" s="152"/>
      <c r="D12" s="152"/>
      <c r="E12" s="403">
        <f>SUM(E5:E11)</f>
        <v>0</v>
      </c>
      <c r="F12" s="403">
        <f t="shared" si="0"/>
        <v>0</v>
      </c>
      <c r="G12" s="403">
        <f t="shared" si="1"/>
        <v>0</v>
      </c>
    </row>
    <row r="13" spans="2:7" ht="15.5" x14ac:dyDescent="0.35">
      <c r="B13" s="151"/>
      <c r="C13" s="152"/>
      <c r="D13" s="152"/>
      <c r="E13" s="352"/>
      <c r="F13" s="351"/>
      <c r="G13" s="352"/>
    </row>
    <row r="14" spans="2:7" ht="15.5" x14ac:dyDescent="0.35">
      <c r="B14" s="151" t="s">
        <v>81</v>
      </c>
      <c r="C14" s="152"/>
      <c r="D14" s="152"/>
      <c r="E14" s="352"/>
      <c r="F14" s="351"/>
      <c r="G14" s="352"/>
    </row>
    <row r="15" spans="2:7" ht="15.5" x14ac:dyDescent="0.35">
      <c r="B15" s="152" t="s">
        <v>594</v>
      </c>
      <c r="C15" s="152"/>
      <c r="D15" s="152"/>
      <c r="E15" s="350">
        <f>SUM('Install '!E6:E12)</f>
        <v>0</v>
      </c>
      <c r="F15" s="351">
        <f t="shared" ref="F15:F21" si="2">E15*3/23</f>
        <v>0</v>
      </c>
      <c r="G15" s="350">
        <f t="shared" ref="G15:G21" si="3">E15-(E15*3/23)</f>
        <v>0</v>
      </c>
    </row>
    <row r="16" spans="2:7" ht="15.5" x14ac:dyDescent="0.35">
      <c r="B16" s="152" t="s">
        <v>595</v>
      </c>
      <c r="C16" s="152"/>
      <c r="D16" s="152"/>
      <c r="E16" s="350">
        <f>'I Robe Set Combos'!H57</f>
        <v>0</v>
      </c>
      <c r="F16" s="351">
        <f t="shared" si="2"/>
        <v>0</v>
      </c>
      <c r="G16" s="350">
        <f t="shared" si="3"/>
        <v>0</v>
      </c>
    </row>
    <row r="17" spans="2:7" ht="15.5" x14ac:dyDescent="0.35">
      <c r="B17" s="152" t="s">
        <v>394</v>
      </c>
      <c r="C17" s="152"/>
      <c r="D17" s="152"/>
      <c r="E17" s="350">
        <f>'IR Premium'!B30</f>
        <v>0</v>
      </c>
      <c r="F17" s="351">
        <f t="shared" si="2"/>
        <v>0</v>
      </c>
      <c r="G17" s="350">
        <f t="shared" si="3"/>
        <v>0</v>
      </c>
    </row>
    <row r="18" spans="2:7" ht="15.5" x14ac:dyDescent="0.35">
      <c r="B18" s="152" t="s">
        <v>395</v>
      </c>
      <c r="C18" s="152"/>
      <c r="D18" s="152"/>
      <c r="E18" s="353">
        <f>SUM('Install '!E13:E14)</f>
        <v>0</v>
      </c>
      <c r="F18" s="351">
        <f t="shared" si="2"/>
        <v>0</v>
      </c>
      <c r="G18" s="350">
        <f t="shared" si="3"/>
        <v>0</v>
      </c>
    </row>
    <row r="19" spans="2:7" ht="15.5" x14ac:dyDescent="0.35">
      <c r="B19" s="152" t="s">
        <v>396</v>
      </c>
      <c r="C19" s="152"/>
      <c r="D19" s="152"/>
      <c r="E19" s="353">
        <f>'Linen Slatting'!C21</f>
        <v>0</v>
      </c>
      <c r="F19" s="351">
        <f t="shared" si="2"/>
        <v>0</v>
      </c>
      <c r="G19" s="350">
        <f t="shared" si="3"/>
        <v>0</v>
      </c>
    </row>
    <row r="20" spans="2:7" ht="15.5" x14ac:dyDescent="0.35">
      <c r="B20" s="152" t="s">
        <v>397</v>
      </c>
      <c r="C20" s="152"/>
      <c r="D20" s="152"/>
      <c r="E20" s="353">
        <f>SUM('Install '!E15:E17)</f>
        <v>0</v>
      </c>
      <c r="F20" s="351">
        <f t="shared" si="2"/>
        <v>0</v>
      </c>
      <c r="G20" s="350">
        <f t="shared" si="3"/>
        <v>0</v>
      </c>
    </row>
    <row r="21" spans="2:7" ht="15.5" x14ac:dyDescent="0.35">
      <c r="B21" s="405" t="s">
        <v>398</v>
      </c>
      <c r="C21" s="152"/>
      <c r="D21" s="152"/>
      <c r="E21" s="403">
        <f>SUM(E15:E20)+('Install '!E3+'Install '!E4+'Install '!E5)</f>
        <v>0</v>
      </c>
      <c r="F21" s="403">
        <f t="shared" si="2"/>
        <v>0</v>
      </c>
      <c r="G21" s="403">
        <f t="shared" si="3"/>
        <v>0</v>
      </c>
    </row>
    <row r="22" spans="2:7" ht="15.5" x14ac:dyDescent="0.35">
      <c r="B22" s="151"/>
      <c r="C22" s="152"/>
      <c r="D22" s="152"/>
      <c r="E22" s="352"/>
      <c r="F22" s="351"/>
      <c r="G22" s="352"/>
    </row>
    <row r="23" spans="2:7" ht="15.5" x14ac:dyDescent="0.35">
      <c r="B23" s="151" t="s">
        <v>599</v>
      </c>
      <c r="C23" s="152"/>
      <c r="D23" s="152"/>
      <c r="E23" s="403"/>
      <c r="F23" s="351"/>
      <c r="G23" s="352"/>
    </row>
    <row r="24" spans="2:7" ht="15.5" x14ac:dyDescent="0.35">
      <c r="B24" s="151"/>
      <c r="C24" s="152"/>
      <c r="D24" s="152"/>
      <c r="E24" s="352"/>
      <c r="F24" s="351"/>
      <c r="G24" s="352"/>
    </row>
    <row r="25" spans="2:7" ht="15.5" x14ac:dyDescent="0.35">
      <c r="B25" s="406" t="s">
        <v>150</v>
      </c>
      <c r="C25" s="152"/>
      <c r="D25" s="152"/>
      <c r="E25" s="403">
        <f>E12+E21+E23</f>
        <v>0</v>
      </c>
      <c r="F25" s="403">
        <f>F12+F21+F23</f>
        <v>0</v>
      </c>
      <c r="G25" s="403">
        <f>G12+G21+G23</f>
        <v>0</v>
      </c>
    </row>
    <row r="26" spans="2:7" ht="15.5" x14ac:dyDescent="0.35">
      <c r="B26" s="152"/>
      <c r="C26" s="151"/>
      <c r="D26" s="152"/>
      <c r="E26" s="152"/>
      <c r="F26" s="351"/>
      <c r="G26" s="354"/>
    </row>
    <row r="27" spans="2:7" ht="14.5" customHeight="1" x14ac:dyDescent="0.35">
      <c r="B27" s="151"/>
      <c r="C27" s="354"/>
      <c r="D27" s="152"/>
      <c r="E27" s="404" t="s">
        <v>463</v>
      </c>
      <c r="F27" s="402" t="s">
        <v>465</v>
      </c>
      <c r="G27" s="349" t="s">
        <v>464</v>
      </c>
    </row>
    <row r="28" spans="2:7" ht="15.5" x14ac:dyDescent="0.35">
      <c r="B28" s="151" t="s">
        <v>292</v>
      </c>
      <c r="C28" s="355" t="s">
        <v>399</v>
      </c>
      <c r="D28" s="356" t="s">
        <v>469</v>
      </c>
      <c r="E28" s="357" t="s">
        <v>214</v>
      </c>
      <c r="F28" s="351"/>
      <c r="G28" s="357" t="s">
        <v>214</v>
      </c>
    </row>
    <row r="29" spans="2:7" ht="15.5" x14ac:dyDescent="0.35">
      <c r="B29" s="152" t="s">
        <v>400</v>
      </c>
      <c r="C29" s="358"/>
      <c r="D29" s="351">
        <f>C29*E12</f>
        <v>0</v>
      </c>
      <c r="E29" s="350">
        <f>E12-D29</f>
        <v>0</v>
      </c>
      <c r="F29" s="351">
        <f>E29*3/23</f>
        <v>0</v>
      </c>
      <c r="G29" s="352">
        <f>E29-(E29*3/23)</f>
        <v>0</v>
      </c>
    </row>
    <row r="30" spans="2:7" ht="15.5" x14ac:dyDescent="0.35">
      <c r="B30" s="152" t="s">
        <v>401</v>
      </c>
      <c r="C30" s="358"/>
      <c r="D30" s="351">
        <f>C30*E21</f>
        <v>0</v>
      </c>
      <c r="E30" s="350">
        <f>E21-D30</f>
        <v>0</v>
      </c>
      <c r="F30" s="351">
        <f t="shared" ref="F30:F32" si="4">E30*3/23</f>
        <v>0</v>
      </c>
      <c r="G30" s="352">
        <f t="shared" ref="G30:G32" si="5">E30-(E30*3/23)</f>
        <v>0</v>
      </c>
    </row>
    <row r="31" spans="2:7" ht="15.5" x14ac:dyDescent="0.35">
      <c r="B31" s="152" t="s">
        <v>402</v>
      </c>
      <c r="C31" s="359"/>
      <c r="D31" s="351">
        <f>C31*E23</f>
        <v>0</v>
      </c>
      <c r="E31" s="360">
        <f>E23-D31</f>
        <v>0</v>
      </c>
      <c r="F31" s="351">
        <f t="shared" si="4"/>
        <v>0</v>
      </c>
      <c r="G31" s="352">
        <f t="shared" si="5"/>
        <v>0</v>
      </c>
    </row>
    <row r="32" spans="2:7" ht="15.5" x14ac:dyDescent="0.35">
      <c r="B32" s="152"/>
      <c r="C32" s="152"/>
      <c r="D32" s="152"/>
      <c r="E32" s="361">
        <f>SUM(E29:E31)</f>
        <v>0</v>
      </c>
      <c r="F32" s="403">
        <f t="shared" si="4"/>
        <v>0</v>
      </c>
      <c r="G32" s="403">
        <f t="shared" si="5"/>
        <v>0</v>
      </c>
    </row>
    <row r="33" spans="2:10" ht="15.5" x14ac:dyDescent="0.35">
      <c r="B33" s="151" t="s">
        <v>403</v>
      </c>
      <c r="C33" s="362">
        <f>D29+D30+D31</f>
        <v>0</v>
      </c>
      <c r="D33" s="152"/>
      <c r="E33" s="152"/>
      <c r="F33" s="152"/>
      <c r="G33" s="152"/>
    </row>
    <row r="34" spans="2:10" ht="15.5" x14ac:dyDescent="0.35">
      <c r="B34" s="151" t="s">
        <v>404</v>
      </c>
      <c r="C34" s="414" t="e">
        <f>(E25-E32)/E25</f>
        <v>#DIV/0!</v>
      </c>
      <c r="D34" s="152"/>
      <c r="E34" s="152"/>
      <c r="F34" s="152"/>
      <c r="G34" s="152"/>
    </row>
    <row r="35" spans="2:10" ht="15.5" x14ac:dyDescent="0.35">
      <c r="B35" s="151" t="s">
        <v>405</v>
      </c>
      <c r="C35" s="363">
        <f>E32</f>
        <v>0</v>
      </c>
      <c r="D35" s="152"/>
      <c r="E35" s="152"/>
      <c r="F35" s="152"/>
      <c r="G35" s="152"/>
    </row>
    <row r="48" spans="2:10" x14ac:dyDescent="0.3">
      <c r="J48" s="31"/>
    </row>
    <row r="49" spans="10:10" x14ac:dyDescent="0.3">
      <c r="J49" s="31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88EDF-E309-4398-BADA-B9D3CE312909}">
  <dimension ref="A1:I27"/>
  <sheetViews>
    <sheetView workbookViewId="0">
      <selection activeCell="V55" sqref="V55"/>
    </sheetView>
  </sheetViews>
  <sheetFormatPr defaultRowHeight="14.5" x14ac:dyDescent="0.35"/>
  <cols>
    <col min="1" max="1" width="13.81640625" customWidth="1"/>
  </cols>
  <sheetData>
    <row r="1" spans="1:9" ht="20.25" customHeight="1" x14ac:dyDescent="0.35">
      <c r="A1" s="10" t="s">
        <v>283</v>
      </c>
      <c r="B1" s="10"/>
      <c r="C1" s="1"/>
      <c r="D1" s="1"/>
      <c r="E1" s="1"/>
      <c r="F1" s="1"/>
      <c r="G1" s="1"/>
      <c r="H1" s="1"/>
    </row>
    <row r="2" spans="1:9" ht="20.25" customHeight="1" x14ac:dyDescent="0.35">
      <c r="A2" s="196"/>
      <c r="B2" s="1"/>
      <c r="C2" s="1"/>
      <c r="D2" s="1"/>
      <c r="E2" s="1"/>
      <c r="F2" s="1"/>
      <c r="G2" s="1"/>
      <c r="H2" s="1"/>
    </row>
    <row r="3" spans="1:9" ht="20.25" customHeight="1" x14ac:dyDescent="0.35">
      <c r="A3" s="196" t="s">
        <v>284</v>
      </c>
      <c r="B3" s="1"/>
      <c r="C3" s="1"/>
      <c r="D3" s="1"/>
      <c r="E3" s="1"/>
      <c r="F3" s="1"/>
      <c r="G3" s="1"/>
      <c r="H3" s="1"/>
    </row>
    <row r="4" spans="1:9" ht="36.75" customHeight="1" x14ac:dyDescent="0.35">
      <c r="A4" s="1013" t="s">
        <v>285</v>
      </c>
      <c r="B4" s="197" t="s">
        <v>286</v>
      </c>
      <c r="C4" s="197" t="s">
        <v>287</v>
      </c>
      <c r="D4" s="197" t="s">
        <v>288</v>
      </c>
      <c r="E4" s="197" t="s">
        <v>288</v>
      </c>
      <c r="F4" s="197" t="s">
        <v>289</v>
      </c>
      <c r="G4" s="197" t="s">
        <v>289</v>
      </c>
      <c r="H4" s="197" t="s">
        <v>289</v>
      </c>
      <c r="I4" s="87" t="s">
        <v>289</v>
      </c>
    </row>
    <row r="5" spans="1:9" ht="29.25" customHeight="1" x14ac:dyDescent="0.35">
      <c r="A5" s="1013"/>
      <c r="B5" s="197" t="s">
        <v>290</v>
      </c>
      <c r="C5" s="197" t="s">
        <v>290</v>
      </c>
      <c r="D5" s="197" t="s">
        <v>291</v>
      </c>
      <c r="E5" s="197" t="s">
        <v>291</v>
      </c>
      <c r="F5" s="197" t="s">
        <v>292</v>
      </c>
      <c r="G5" s="197" t="s">
        <v>208</v>
      </c>
      <c r="H5" s="197" t="s">
        <v>208</v>
      </c>
      <c r="I5" s="256" t="s">
        <v>293</v>
      </c>
    </row>
    <row r="6" spans="1:9" ht="33" customHeight="1" x14ac:dyDescent="0.35">
      <c r="A6" s="1014"/>
      <c r="B6" s="257"/>
      <c r="C6" s="257"/>
      <c r="D6" s="257" t="s">
        <v>294</v>
      </c>
      <c r="E6" s="257" t="s">
        <v>122</v>
      </c>
      <c r="F6" s="257"/>
      <c r="G6" s="257" t="s">
        <v>295</v>
      </c>
      <c r="H6" s="257" t="s">
        <v>296</v>
      </c>
      <c r="I6" s="258"/>
    </row>
    <row r="7" spans="1:9" ht="20.25" customHeight="1" x14ac:dyDescent="0.35">
      <c r="A7" s="1015" t="s">
        <v>297</v>
      </c>
      <c r="B7" s="1015"/>
      <c r="C7" s="259"/>
      <c r="D7" s="259"/>
      <c r="E7" s="259"/>
      <c r="F7" s="259"/>
      <c r="G7" s="259"/>
      <c r="H7" s="259"/>
      <c r="I7" s="260"/>
    </row>
    <row r="8" spans="1:9" ht="20.25" customHeight="1" x14ac:dyDescent="0.35">
      <c r="A8" s="261">
        <v>2</v>
      </c>
      <c r="B8" s="261">
        <v>800</v>
      </c>
      <c r="C8" s="261">
        <v>1600</v>
      </c>
      <c r="D8" s="261">
        <v>683</v>
      </c>
      <c r="E8" s="261">
        <v>785</v>
      </c>
      <c r="F8" s="262">
        <v>0.3</v>
      </c>
      <c r="G8" s="261">
        <v>478</v>
      </c>
      <c r="H8" s="261">
        <v>550</v>
      </c>
      <c r="I8" s="260">
        <v>810</v>
      </c>
    </row>
    <row r="9" spans="1:9" ht="20.25" customHeight="1" x14ac:dyDescent="0.35">
      <c r="A9" s="261">
        <v>2</v>
      </c>
      <c r="B9" s="261">
        <v>1000</v>
      </c>
      <c r="C9" s="261">
        <v>2000</v>
      </c>
      <c r="D9" s="261">
        <v>770</v>
      </c>
      <c r="E9" s="261">
        <v>885</v>
      </c>
      <c r="F9" s="262">
        <v>0.2</v>
      </c>
      <c r="G9" s="261">
        <v>616</v>
      </c>
      <c r="H9" s="261">
        <v>708</v>
      </c>
      <c r="I9" s="260">
        <v>968</v>
      </c>
    </row>
    <row r="10" spans="1:9" ht="20.25" customHeight="1" x14ac:dyDescent="0.35">
      <c r="A10" s="261">
        <v>2</v>
      </c>
      <c r="B10" s="261">
        <v>1200</v>
      </c>
      <c r="C10" s="261">
        <v>2400</v>
      </c>
      <c r="D10" s="261">
        <v>857</v>
      </c>
      <c r="E10" s="261">
        <v>985</v>
      </c>
      <c r="F10" s="262">
        <v>0.2</v>
      </c>
      <c r="G10" s="261">
        <v>686</v>
      </c>
      <c r="H10" s="261">
        <v>788</v>
      </c>
      <c r="I10" s="260">
        <v>1048</v>
      </c>
    </row>
    <row r="11" spans="1:9" ht="20.25" customHeight="1" x14ac:dyDescent="0.35">
      <c r="A11" s="261">
        <v>3</v>
      </c>
      <c r="B11" s="261">
        <v>800</v>
      </c>
      <c r="C11" s="261">
        <v>2400</v>
      </c>
      <c r="D11" s="263">
        <v>1043</v>
      </c>
      <c r="E11" s="263">
        <v>1200</v>
      </c>
      <c r="F11" s="262">
        <v>0.2</v>
      </c>
      <c r="G11" s="261">
        <v>834</v>
      </c>
      <c r="H11" s="261">
        <v>960</v>
      </c>
      <c r="I11" s="260">
        <v>1220</v>
      </c>
    </row>
    <row r="12" spans="1:9" ht="20.25" customHeight="1" x14ac:dyDescent="0.35">
      <c r="A12" s="261">
        <v>3</v>
      </c>
      <c r="B12" s="261">
        <v>1000</v>
      </c>
      <c r="C12" s="261">
        <v>3000</v>
      </c>
      <c r="D12" s="263">
        <v>1174</v>
      </c>
      <c r="E12" s="263">
        <v>1350</v>
      </c>
      <c r="F12" s="262">
        <v>0.2</v>
      </c>
      <c r="G12" s="261">
        <v>939</v>
      </c>
      <c r="H12" s="261">
        <v>1080</v>
      </c>
      <c r="I12" s="260">
        <v>1340</v>
      </c>
    </row>
    <row r="13" spans="1:9" ht="20.25" customHeight="1" x14ac:dyDescent="0.35">
      <c r="A13" s="264">
        <v>3</v>
      </c>
      <c r="B13" s="264">
        <v>1200</v>
      </c>
      <c r="C13" s="264">
        <v>3600</v>
      </c>
      <c r="D13" s="265">
        <v>1304</v>
      </c>
      <c r="E13" s="265">
        <v>1500</v>
      </c>
      <c r="F13" s="266">
        <v>0.2</v>
      </c>
      <c r="G13" s="264">
        <v>1043</v>
      </c>
      <c r="H13" s="264">
        <v>1200</v>
      </c>
      <c r="I13" s="267">
        <v>1460</v>
      </c>
    </row>
    <row r="14" spans="1:9" ht="20.25" customHeight="1" x14ac:dyDescent="0.35">
      <c r="A14" s="261">
        <v>4</v>
      </c>
      <c r="B14" s="261">
        <v>800</v>
      </c>
      <c r="C14" s="261">
        <v>3200</v>
      </c>
      <c r="D14" s="263">
        <v>1304</v>
      </c>
      <c r="E14" s="263">
        <v>1500</v>
      </c>
      <c r="F14" s="262">
        <v>0.2</v>
      </c>
      <c r="G14" s="261">
        <v>1043</v>
      </c>
      <c r="H14" s="261">
        <v>1200</v>
      </c>
      <c r="I14" s="260">
        <v>1460</v>
      </c>
    </row>
    <row r="15" spans="1:9" ht="20.25" customHeight="1" x14ac:dyDescent="0.35">
      <c r="A15" s="261">
        <v>4</v>
      </c>
      <c r="B15" s="261">
        <v>1000</v>
      </c>
      <c r="C15" s="261">
        <v>4000</v>
      </c>
      <c r="D15" s="263">
        <v>1478</v>
      </c>
      <c r="E15" s="263">
        <v>1700</v>
      </c>
      <c r="F15" s="262">
        <v>0.2</v>
      </c>
      <c r="G15" s="261">
        <v>1182</v>
      </c>
      <c r="H15" s="261">
        <v>1360</v>
      </c>
      <c r="I15" s="260">
        <v>1620</v>
      </c>
    </row>
    <row r="16" spans="1:9" ht="20.25" customHeight="1" x14ac:dyDescent="0.35">
      <c r="A16" s="264">
        <v>4</v>
      </c>
      <c r="B16" s="264">
        <v>1200</v>
      </c>
      <c r="C16" s="264">
        <v>4800</v>
      </c>
      <c r="D16" s="265">
        <v>1652</v>
      </c>
      <c r="E16" s="265">
        <v>1900</v>
      </c>
      <c r="F16" s="266">
        <v>0.2</v>
      </c>
      <c r="G16" s="264">
        <v>1322</v>
      </c>
      <c r="H16" s="264">
        <v>1520</v>
      </c>
      <c r="I16" s="267">
        <v>1780</v>
      </c>
    </row>
    <row r="17" spans="1:9" ht="20.25" customHeight="1" x14ac:dyDescent="0.35">
      <c r="A17" s="1015" t="s">
        <v>233</v>
      </c>
      <c r="B17" s="1015"/>
      <c r="C17" s="261"/>
      <c r="D17" s="261"/>
      <c r="E17" s="261"/>
      <c r="F17" s="261"/>
      <c r="G17" s="261">
        <v>0</v>
      </c>
      <c r="H17" s="261">
        <v>0</v>
      </c>
      <c r="I17" s="260">
        <v>260</v>
      </c>
    </row>
    <row r="18" spans="1:9" ht="20.25" customHeight="1" x14ac:dyDescent="0.35">
      <c r="A18" s="261">
        <v>3</v>
      </c>
      <c r="B18" s="261">
        <v>800</v>
      </c>
      <c r="C18" s="261">
        <v>2400</v>
      </c>
      <c r="D18" s="263">
        <v>1117</v>
      </c>
      <c r="E18" s="263">
        <v>1285</v>
      </c>
      <c r="F18" s="262">
        <v>0.3</v>
      </c>
      <c r="G18" s="261">
        <v>782</v>
      </c>
      <c r="H18" s="261">
        <v>899</v>
      </c>
      <c r="I18" s="260">
        <v>1159</v>
      </c>
    </row>
    <row r="19" spans="1:9" ht="20.25" customHeight="1" x14ac:dyDescent="0.35">
      <c r="A19" s="261">
        <v>3</v>
      </c>
      <c r="B19" s="261">
        <v>1000</v>
      </c>
      <c r="C19" s="261">
        <v>3000</v>
      </c>
      <c r="D19" s="263">
        <v>1378</v>
      </c>
      <c r="E19" s="263">
        <v>1585</v>
      </c>
      <c r="F19" s="262">
        <v>0.2</v>
      </c>
      <c r="G19" s="261">
        <v>1102</v>
      </c>
      <c r="H19" s="261">
        <v>1268</v>
      </c>
      <c r="I19" s="260">
        <v>1496</v>
      </c>
    </row>
    <row r="20" spans="1:9" ht="20.25" customHeight="1" x14ac:dyDescent="0.35">
      <c r="A20" s="264">
        <v>3</v>
      </c>
      <c r="B20" s="264">
        <v>1200</v>
      </c>
      <c r="C20" s="264">
        <v>3600</v>
      </c>
      <c r="D20" s="265">
        <v>1639</v>
      </c>
      <c r="E20" s="265">
        <v>1885</v>
      </c>
      <c r="F20" s="266">
        <v>0.2</v>
      </c>
      <c r="G20" s="264">
        <v>1311</v>
      </c>
      <c r="H20" s="264">
        <v>1508</v>
      </c>
      <c r="I20" s="267">
        <v>1736</v>
      </c>
    </row>
    <row r="21" spans="1:9" ht="20.25" customHeight="1" x14ac:dyDescent="0.35">
      <c r="A21" s="268" t="s">
        <v>298</v>
      </c>
      <c r="B21" s="268"/>
      <c r="C21" s="261" t="s">
        <v>299</v>
      </c>
      <c r="D21" s="261">
        <v>283</v>
      </c>
      <c r="E21" s="261">
        <v>325</v>
      </c>
      <c r="F21" s="262">
        <v>0.2</v>
      </c>
      <c r="G21" s="261">
        <v>226</v>
      </c>
      <c r="H21" s="261">
        <v>260</v>
      </c>
      <c r="I21" s="260"/>
    </row>
    <row r="22" spans="1:9" ht="20.25" customHeight="1" x14ac:dyDescent="0.35">
      <c r="A22" s="1" t="s">
        <v>300</v>
      </c>
    </row>
    <row r="23" spans="1:9" ht="20.25" customHeight="1" x14ac:dyDescent="0.35">
      <c r="A23" s="194" t="s">
        <v>301</v>
      </c>
      <c r="B23" s="193"/>
      <c r="C23" s="193"/>
      <c r="D23" s="193"/>
      <c r="E23" s="193"/>
      <c r="F23" s="193"/>
      <c r="G23" s="193"/>
      <c r="H23" s="193"/>
    </row>
    <row r="24" spans="1:9" ht="20.25" customHeight="1" x14ac:dyDescent="0.35">
      <c r="A24" s="234" t="s">
        <v>302</v>
      </c>
      <c r="B24" s="193"/>
      <c r="C24" s="193"/>
      <c r="D24" s="193"/>
      <c r="E24" s="193"/>
      <c r="F24" s="193"/>
      <c r="G24" s="193"/>
      <c r="H24" s="193"/>
    </row>
    <row r="25" spans="1:9" ht="20.25" customHeight="1" x14ac:dyDescent="0.35">
      <c r="A25" s="194" t="s">
        <v>303</v>
      </c>
      <c r="B25" s="193"/>
      <c r="C25" s="193"/>
      <c r="D25" s="193"/>
      <c r="E25" s="193"/>
      <c r="F25" s="193"/>
      <c r="G25" s="193"/>
      <c r="H25" s="193"/>
    </row>
    <row r="27" spans="1:9" x14ac:dyDescent="0.35">
      <c r="A27" s="194" t="s">
        <v>304</v>
      </c>
      <c r="B27" s="193"/>
      <c r="C27" s="193"/>
      <c r="D27" s="193"/>
      <c r="E27" s="193"/>
      <c r="F27" s="193"/>
      <c r="G27" s="193"/>
      <c r="H27" s="193"/>
    </row>
  </sheetData>
  <mergeCells count="3">
    <mergeCell ref="A4:A6"/>
    <mergeCell ref="A7:B7"/>
    <mergeCell ref="A17:B17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4548F-4807-4ED3-834E-C92E37DE6EE4}">
  <dimension ref="A1:F51"/>
  <sheetViews>
    <sheetView workbookViewId="0"/>
  </sheetViews>
  <sheetFormatPr defaultRowHeight="14.5" x14ac:dyDescent="0.35"/>
  <cols>
    <col min="1" max="1" width="13.81640625" customWidth="1"/>
  </cols>
  <sheetData>
    <row r="1" spans="1:6" x14ac:dyDescent="0.35">
      <c r="A1" s="260" t="s">
        <v>305</v>
      </c>
      <c r="B1" s="260"/>
      <c r="C1" s="260"/>
      <c r="D1" s="260"/>
      <c r="E1" s="260"/>
      <c r="F1" s="260"/>
    </row>
    <row r="2" spans="1:6" ht="43.5" x14ac:dyDescent="0.35">
      <c r="A2" s="269" t="s">
        <v>306</v>
      </c>
      <c r="B2" s="270" t="s">
        <v>307</v>
      </c>
      <c r="C2" s="270" t="s">
        <v>122</v>
      </c>
      <c r="D2" s="270" t="s">
        <v>292</v>
      </c>
      <c r="E2" s="271" t="s">
        <v>308</v>
      </c>
      <c r="F2" s="272" t="s">
        <v>309</v>
      </c>
    </row>
    <row r="3" spans="1:6" x14ac:dyDescent="0.35">
      <c r="A3" s="273" t="s">
        <v>86</v>
      </c>
      <c r="B3" s="274">
        <v>248</v>
      </c>
      <c r="C3" s="274">
        <v>285</v>
      </c>
      <c r="D3" s="275">
        <v>0.15</v>
      </c>
      <c r="E3" s="276">
        <v>211</v>
      </c>
      <c r="F3" s="277">
        <v>242</v>
      </c>
    </row>
    <row r="4" spans="1:6" x14ac:dyDescent="0.35">
      <c r="A4" s="273" t="s">
        <v>87</v>
      </c>
      <c r="B4" s="274">
        <v>465</v>
      </c>
      <c r="C4" s="274">
        <v>535</v>
      </c>
      <c r="D4" s="275">
        <v>0.15</v>
      </c>
      <c r="E4" s="276">
        <v>395</v>
      </c>
      <c r="F4" s="277">
        <v>455</v>
      </c>
    </row>
    <row r="5" spans="1:6" x14ac:dyDescent="0.35">
      <c r="A5" s="273" t="s">
        <v>88</v>
      </c>
      <c r="B5" s="274">
        <v>430</v>
      </c>
      <c r="C5" s="274">
        <v>495</v>
      </c>
      <c r="D5" s="275">
        <v>0.15</v>
      </c>
      <c r="E5" s="276">
        <v>366</v>
      </c>
      <c r="F5" s="277">
        <v>420</v>
      </c>
    </row>
    <row r="6" spans="1:6" x14ac:dyDescent="0.35">
      <c r="A6" s="273" t="s">
        <v>89</v>
      </c>
      <c r="B6" s="274">
        <v>430</v>
      </c>
      <c r="C6" s="274">
        <v>495</v>
      </c>
      <c r="D6" s="275">
        <v>0.15</v>
      </c>
      <c r="E6" s="276">
        <v>366</v>
      </c>
      <c r="F6" s="277">
        <v>420</v>
      </c>
    </row>
    <row r="7" spans="1:6" x14ac:dyDescent="0.35">
      <c r="A7" s="273" t="s">
        <v>90</v>
      </c>
      <c r="B7" s="274">
        <v>604</v>
      </c>
      <c r="C7" s="274">
        <v>695</v>
      </c>
      <c r="D7" s="275">
        <v>0.15</v>
      </c>
      <c r="E7" s="276">
        <v>513</v>
      </c>
      <c r="F7" s="277">
        <v>590</v>
      </c>
    </row>
    <row r="8" spans="1:6" x14ac:dyDescent="0.35">
      <c r="A8" s="273" t="s">
        <v>91</v>
      </c>
      <c r="B8" s="274">
        <v>604</v>
      </c>
      <c r="C8" s="274">
        <v>695</v>
      </c>
      <c r="D8" s="275">
        <v>0.15</v>
      </c>
      <c r="E8" s="276">
        <v>513</v>
      </c>
      <c r="F8" s="277">
        <v>590</v>
      </c>
    </row>
    <row r="9" spans="1:6" x14ac:dyDescent="0.35">
      <c r="A9" s="273" t="s">
        <v>92</v>
      </c>
      <c r="B9" s="274">
        <v>857</v>
      </c>
      <c r="C9" s="274">
        <v>985</v>
      </c>
      <c r="D9" s="275">
        <v>0.15</v>
      </c>
      <c r="E9" s="276">
        <v>728</v>
      </c>
      <c r="F9" s="277">
        <v>838</v>
      </c>
    </row>
    <row r="10" spans="1:6" x14ac:dyDescent="0.35">
      <c r="A10" s="273" t="s">
        <v>93</v>
      </c>
      <c r="B10" s="274">
        <v>1109</v>
      </c>
      <c r="C10" s="274">
        <v>1275</v>
      </c>
      <c r="D10" s="275">
        <v>0.15</v>
      </c>
      <c r="E10" s="276">
        <v>943</v>
      </c>
      <c r="F10" s="277">
        <v>1084</v>
      </c>
    </row>
    <row r="11" spans="1:6" x14ac:dyDescent="0.35">
      <c r="A11" s="273" t="s">
        <v>94</v>
      </c>
      <c r="B11" s="274">
        <v>857</v>
      </c>
      <c r="C11" s="274">
        <v>985</v>
      </c>
      <c r="D11" s="275">
        <v>0.15</v>
      </c>
      <c r="E11" s="276">
        <v>728</v>
      </c>
      <c r="F11" s="277">
        <v>838</v>
      </c>
    </row>
    <row r="12" spans="1:6" x14ac:dyDescent="0.35">
      <c r="A12" s="273" t="s">
        <v>95</v>
      </c>
      <c r="B12" s="274">
        <v>1065</v>
      </c>
      <c r="C12" s="274">
        <v>1225</v>
      </c>
      <c r="D12" s="275">
        <v>0.15</v>
      </c>
      <c r="E12" s="276">
        <v>905</v>
      </c>
      <c r="F12" s="277">
        <v>1041</v>
      </c>
    </row>
    <row r="13" spans="1:6" x14ac:dyDescent="0.35">
      <c r="A13" s="273" t="s">
        <v>96</v>
      </c>
      <c r="B13" s="274">
        <v>709</v>
      </c>
      <c r="C13" s="274">
        <v>815</v>
      </c>
      <c r="D13" s="275">
        <v>0.15</v>
      </c>
      <c r="E13" s="276">
        <v>603</v>
      </c>
      <c r="F13" s="277">
        <v>693</v>
      </c>
    </row>
    <row r="14" spans="1:6" x14ac:dyDescent="0.35">
      <c r="A14" s="273" t="s">
        <v>97</v>
      </c>
      <c r="B14" s="274">
        <v>709</v>
      </c>
      <c r="C14" s="274">
        <v>815</v>
      </c>
      <c r="D14" s="275">
        <v>0.15</v>
      </c>
      <c r="E14" s="276">
        <v>603</v>
      </c>
      <c r="F14" s="277">
        <v>693</v>
      </c>
    </row>
    <row r="15" spans="1:6" x14ac:dyDescent="0.35">
      <c r="A15" s="273" t="s">
        <v>98</v>
      </c>
      <c r="B15" s="274">
        <v>709</v>
      </c>
      <c r="C15" s="274">
        <v>815</v>
      </c>
      <c r="D15" s="275">
        <v>0.15</v>
      </c>
      <c r="E15" s="276">
        <v>603</v>
      </c>
      <c r="F15" s="277">
        <v>693</v>
      </c>
    </row>
    <row r="16" spans="1:6" x14ac:dyDescent="0.35">
      <c r="A16" s="273" t="s">
        <v>99</v>
      </c>
      <c r="B16" s="274">
        <v>709</v>
      </c>
      <c r="C16" s="274">
        <v>815</v>
      </c>
      <c r="D16" s="275">
        <v>0.15</v>
      </c>
      <c r="E16" s="276">
        <v>603</v>
      </c>
      <c r="F16" s="277">
        <v>693</v>
      </c>
    </row>
    <row r="17" spans="1:6" x14ac:dyDescent="0.35">
      <c r="A17" s="273" t="s">
        <v>100</v>
      </c>
      <c r="B17" s="274">
        <v>978</v>
      </c>
      <c r="C17" s="274">
        <v>1125</v>
      </c>
      <c r="D17" s="275">
        <v>0.15</v>
      </c>
      <c r="E17" s="276">
        <v>831</v>
      </c>
      <c r="F17" s="277">
        <v>956</v>
      </c>
    </row>
    <row r="18" spans="1:6" x14ac:dyDescent="0.35">
      <c r="A18" s="273" t="s">
        <v>101</v>
      </c>
      <c r="B18" s="274">
        <v>1152</v>
      </c>
      <c r="C18" s="274">
        <v>1325</v>
      </c>
      <c r="D18" s="275">
        <v>0.15</v>
      </c>
      <c r="E18" s="276">
        <v>979</v>
      </c>
      <c r="F18" s="277">
        <v>1126</v>
      </c>
    </row>
    <row r="19" spans="1:6" x14ac:dyDescent="0.35">
      <c r="A19" s="273" t="s">
        <v>102</v>
      </c>
      <c r="B19" s="274">
        <v>978</v>
      </c>
      <c r="C19" s="274">
        <v>1125</v>
      </c>
      <c r="D19" s="275">
        <v>0.15</v>
      </c>
      <c r="E19" s="276">
        <v>831</v>
      </c>
      <c r="F19" s="277">
        <v>956</v>
      </c>
    </row>
    <row r="20" spans="1:6" x14ac:dyDescent="0.35">
      <c r="A20" s="273" t="s">
        <v>103</v>
      </c>
      <c r="B20" s="274">
        <v>1152</v>
      </c>
      <c r="C20" s="274">
        <v>1325</v>
      </c>
      <c r="D20" s="275">
        <v>0.15</v>
      </c>
      <c r="E20" s="276">
        <v>979</v>
      </c>
      <c r="F20" s="277">
        <v>1126</v>
      </c>
    </row>
    <row r="21" spans="1:6" x14ac:dyDescent="0.35">
      <c r="A21" s="273" t="s">
        <v>104</v>
      </c>
      <c r="B21" s="274">
        <v>978</v>
      </c>
      <c r="C21" s="274">
        <v>1125</v>
      </c>
      <c r="D21" s="275">
        <v>0.15</v>
      </c>
      <c r="E21" s="276">
        <v>831</v>
      </c>
      <c r="F21" s="277">
        <v>956</v>
      </c>
    </row>
    <row r="22" spans="1:6" x14ac:dyDescent="0.35">
      <c r="A22" s="273" t="s">
        <v>105</v>
      </c>
      <c r="B22" s="274">
        <v>1152</v>
      </c>
      <c r="C22" s="274">
        <v>1325</v>
      </c>
      <c r="D22" s="275">
        <v>0.15</v>
      </c>
      <c r="E22" s="276">
        <v>979</v>
      </c>
      <c r="F22" s="277">
        <v>1126</v>
      </c>
    </row>
    <row r="23" spans="1:6" x14ac:dyDescent="0.35">
      <c r="A23" s="273" t="s">
        <v>106</v>
      </c>
      <c r="B23" s="274">
        <v>978</v>
      </c>
      <c r="C23" s="274">
        <v>1125</v>
      </c>
      <c r="D23" s="275">
        <v>0.15</v>
      </c>
      <c r="E23" s="276">
        <v>831</v>
      </c>
      <c r="F23" s="277">
        <v>956</v>
      </c>
    </row>
    <row r="24" spans="1:6" x14ac:dyDescent="0.35">
      <c r="A24" s="273" t="s">
        <v>107</v>
      </c>
      <c r="B24" s="274">
        <v>1152</v>
      </c>
      <c r="C24" s="274">
        <v>1325</v>
      </c>
      <c r="D24" s="275">
        <v>0.15</v>
      </c>
      <c r="E24" s="276">
        <v>979</v>
      </c>
      <c r="F24" s="277">
        <v>1126</v>
      </c>
    </row>
    <row r="25" spans="1:6" x14ac:dyDescent="0.35">
      <c r="A25" s="273" t="s">
        <v>108</v>
      </c>
      <c r="B25" s="274">
        <v>1409</v>
      </c>
      <c r="C25" s="274">
        <v>1620</v>
      </c>
      <c r="D25" s="275">
        <v>0.15</v>
      </c>
      <c r="E25" s="276">
        <v>1198</v>
      </c>
      <c r="F25" s="277">
        <v>1377</v>
      </c>
    </row>
    <row r="26" spans="1:6" x14ac:dyDescent="0.35">
      <c r="A26" s="273" t="s">
        <v>109</v>
      </c>
      <c r="B26" s="274">
        <v>1696</v>
      </c>
      <c r="C26" s="274">
        <v>1950</v>
      </c>
      <c r="D26" s="275">
        <v>0.15</v>
      </c>
      <c r="E26" s="276">
        <v>1442</v>
      </c>
      <c r="F26" s="277">
        <v>1658</v>
      </c>
    </row>
    <row r="27" spans="1:6" x14ac:dyDescent="0.35">
      <c r="A27" s="273" t="s">
        <v>110</v>
      </c>
      <c r="B27" s="274">
        <v>1178</v>
      </c>
      <c r="C27" s="274">
        <v>1355</v>
      </c>
      <c r="D27" s="275">
        <v>0.15</v>
      </c>
      <c r="E27" s="276">
        <v>1001</v>
      </c>
      <c r="F27" s="277">
        <v>1151</v>
      </c>
    </row>
    <row r="28" spans="1:6" x14ac:dyDescent="0.35">
      <c r="A28" s="273" t="s">
        <v>111</v>
      </c>
      <c r="B28" s="274">
        <v>1609</v>
      </c>
      <c r="C28" s="274">
        <v>1850</v>
      </c>
      <c r="D28" s="275">
        <v>0.15</v>
      </c>
      <c r="E28" s="276">
        <v>1368</v>
      </c>
      <c r="F28" s="277">
        <v>1573</v>
      </c>
    </row>
    <row r="29" spans="1:6" x14ac:dyDescent="0.35">
      <c r="A29" s="273" t="s">
        <v>112</v>
      </c>
      <c r="B29" s="274">
        <v>1152</v>
      </c>
      <c r="C29" s="274">
        <v>1325</v>
      </c>
      <c r="D29" s="275">
        <v>0.15</v>
      </c>
      <c r="E29" s="276">
        <v>979</v>
      </c>
      <c r="F29" s="277">
        <v>1126</v>
      </c>
    </row>
    <row r="30" spans="1:6" x14ac:dyDescent="0.35">
      <c r="A30" s="273" t="s">
        <v>113</v>
      </c>
      <c r="B30" s="274">
        <v>909</v>
      </c>
      <c r="C30" s="274">
        <v>1045</v>
      </c>
      <c r="D30" s="275">
        <v>0.15</v>
      </c>
      <c r="E30" s="276">
        <v>773</v>
      </c>
      <c r="F30" s="277">
        <v>889</v>
      </c>
    </row>
    <row r="31" spans="1:6" x14ac:dyDescent="0.35">
      <c r="A31" s="273" t="s">
        <v>114</v>
      </c>
      <c r="B31" s="274">
        <v>1117</v>
      </c>
      <c r="C31" s="274">
        <v>1285</v>
      </c>
      <c r="D31" s="275">
        <v>0.15</v>
      </c>
      <c r="E31" s="276">
        <v>949</v>
      </c>
      <c r="F31" s="277">
        <v>1092</v>
      </c>
    </row>
    <row r="32" spans="1:6" x14ac:dyDescent="0.35">
      <c r="A32" s="273" t="s">
        <v>115</v>
      </c>
      <c r="B32" s="274">
        <v>1337</v>
      </c>
      <c r="C32" s="274">
        <v>1538</v>
      </c>
      <c r="D32" s="275">
        <v>0.15</v>
      </c>
      <c r="E32" s="276">
        <v>1136</v>
      </c>
      <c r="F32" s="277">
        <v>1307</v>
      </c>
    </row>
    <row r="33" spans="1:6" x14ac:dyDescent="0.35">
      <c r="A33" s="273" t="s">
        <v>116</v>
      </c>
      <c r="B33" s="274">
        <v>1337</v>
      </c>
      <c r="C33" s="274">
        <v>1538</v>
      </c>
      <c r="D33" s="275">
        <v>0.15</v>
      </c>
      <c r="E33" s="276">
        <v>1136</v>
      </c>
      <c r="F33" s="277">
        <v>1307</v>
      </c>
    </row>
    <row r="34" spans="1:6" x14ac:dyDescent="0.35">
      <c r="A34" s="273" t="s">
        <v>117</v>
      </c>
      <c r="B34" s="274">
        <v>1087</v>
      </c>
      <c r="C34" s="274">
        <v>1250</v>
      </c>
      <c r="D34" s="275">
        <v>0.15</v>
      </c>
      <c r="E34" s="276">
        <v>924</v>
      </c>
      <c r="F34" s="277">
        <v>1063</v>
      </c>
    </row>
    <row r="35" spans="1:6" x14ac:dyDescent="0.35">
      <c r="A35" s="273" t="s">
        <v>118</v>
      </c>
      <c r="B35" s="274">
        <v>1304</v>
      </c>
      <c r="C35" s="274">
        <v>1500</v>
      </c>
      <c r="D35" s="275">
        <v>0.15</v>
      </c>
      <c r="E35" s="276">
        <v>1108</v>
      </c>
      <c r="F35" s="277">
        <v>1275</v>
      </c>
    </row>
    <row r="36" spans="1:6" x14ac:dyDescent="0.35">
      <c r="A36" s="273" t="s">
        <v>119</v>
      </c>
      <c r="B36" s="274">
        <v>826</v>
      </c>
      <c r="C36" s="274">
        <v>950</v>
      </c>
      <c r="D36" s="275">
        <v>0.15</v>
      </c>
      <c r="E36" s="276">
        <v>702</v>
      </c>
      <c r="F36" s="277">
        <v>807</v>
      </c>
    </row>
    <row r="37" spans="1:6" x14ac:dyDescent="0.35">
      <c r="A37" s="278" t="s">
        <v>120</v>
      </c>
      <c r="B37" s="279">
        <v>1039</v>
      </c>
      <c r="C37" s="279">
        <v>1195</v>
      </c>
      <c r="D37" s="275">
        <v>0.15</v>
      </c>
      <c r="E37" s="276">
        <v>883</v>
      </c>
      <c r="F37" s="277">
        <v>1016</v>
      </c>
    </row>
    <row r="38" spans="1:6" x14ac:dyDescent="0.35">
      <c r="A38" s="269" t="s">
        <v>310</v>
      </c>
      <c r="B38" s="280" t="s">
        <v>306</v>
      </c>
      <c r="C38" s="280" t="s">
        <v>306</v>
      </c>
      <c r="D38" s="275">
        <v>0.15</v>
      </c>
      <c r="E38" s="276" t="s">
        <v>306</v>
      </c>
      <c r="F38" s="281" t="s">
        <v>306</v>
      </c>
    </row>
    <row r="40" spans="1:6" x14ac:dyDescent="0.35">
      <c r="A40" s="282" t="s">
        <v>311</v>
      </c>
      <c r="B40" s="280" t="s">
        <v>306</v>
      </c>
      <c r="C40" s="270" t="s">
        <v>312</v>
      </c>
      <c r="D40" s="270" t="s">
        <v>313</v>
      </c>
    </row>
    <row r="41" spans="1:6" x14ac:dyDescent="0.35">
      <c r="A41" s="273" t="s">
        <v>195</v>
      </c>
      <c r="B41" s="274" t="s">
        <v>210</v>
      </c>
      <c r="C41" s="274">
        <v>61</v>
      </c>
      <c r="D41" s="274">
        <v>70</v>
      </c>
    </row>
    <row r="42" spans="1:6" x14ac:dyDescent="0.35">
      <c r="A42" s="273" t="s">
        <v>195</v>
      </c>
      <c r="B42" s="274" t="s">
        <v>212</v>
      </c>
      <c r="C42" s="274">
        <v>74</v>
      </c>
      <c r="D42" s="274">
        <v>85</v>
      </c>
    </row>
    <row r="43" spans="1:6" x14ac:dyDescent="0.35">
      <c r="A43" s="273" t="s">
        <v>314</v>
      </c>
      <c r="B43" s="274">
        <v>800</v>
      </c>
      <c r="C43" s="274">
        <v>52</v>
      </c>
      <c r="D43" s="274">
        <v>60</v>
      </c>
    </row>
    <row r="44" spans="1:6" x14ac:dyDescent="0.35">
      <c r="A44" s="273" t="s">
        <v>314</v>
      </c>
      <c r="B44" s="274">
        <v>1200</v>
      </c>
      <c r="C44" s="274">
        <v>65</v>
      </c>
      <c r="D44" s="274">
        <v>75</v>
      </c>
    </row>
    <row r="45" spans="1:6" x14ac:dyDescent="0.35">
      <c r="A45" s="273" t="s">
        <v>315</v>
      </c>
      <c r="B45" s="274" t="s">
        <v>306</v>
      </c>
      <c r="C45" s="274">
        <v>74</v>
      </c>
      <c r="D45" s="274">
        <v>85</v>
      </c>
    </row>
    <row r="46" spans="1:6" x14ac:dyDescent="0.35">
      <c r="A46" s="283" t="s">
        <v>316</v>
      </c>
      <c r="B46" s="274" t="s">
        <v>306</v>
      </c>
      <c r="C46" s="274" t="s">
        <v>306</v>
      </c>
      <c r="D46" s="274">
        <v>0</v>
      </c>
    </row>
    <row r="47" spans="1:6" x14ac:dyDescent="0.35">
      <c r="A47" s="273" t="s">
        <v>268</v>
      </c>
      <c r="B47" s="274" t="s">
        <v>306</v>
      </c>
      <c r="C47" s="274">
        <v>83</v>
      </c>
      <c r="D47" s="274">
        <v>95</v>
      </c>
    </row>
    <row r="48" spans="1:6" x14ac:dyDescent="0.35">
      <c r="A48" s="273" t="s">
        <v>279</v>
      </c>
      <c r="B48" s="274" t="s">
        <v>317</v>
      </c>
      <c r="C48" s="274">
        <v>170</v>
      </c>
      <c r="D48" s="274">
        <v>196</v>
      </c>
    </row>
    <row r="49" spans="1:4" x14ac:dyDescent="0.35">
      <c r="A49" s="278" t="s">
        <v>279</v>
      </c>
      <c r="B49" s="279" t="s">
        <v>318</v>
      </c>
      <c r="C49" s="279">
        <v>170</v>
      </c>
      <c r="D49" s="274">
        <v>196</v>
      </c>
    </row>
    <row r="50" spans="1:4" x14ac:dyDescent="0.35">
      <c r="A50" s="282" t="s">
        <v>1</v>
      </c>
      <c r="B50" s="280" t="s">
        <v>306</v>
      </c>
      <c r="C50" s="280" t="s">
        <v>306</v>
      </c>
      <c r="D50" s="274" t="s">
        <v>306</v>
      </c>
    </row>
    <row r="51" spans="1:4" ht="58" x14ac:dyDescent="0.35">
      <c r="A51" s="284" t="s">
        <v>319</v>
      </c>
      <c r="B51" s="274" t="s">
        <v>306</v>
      </c>
      <c r="C51" s="274">
        <v>304</v>
      </c>
      <c r="D51" s="274">
        <v>350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81562-E54A-44A8-B62B-6B1613906BF3}">
  <dimension ref="A1:K40"/>
  <sheetViews>
    <sheetView workbookViewId="0"/>
  </sheetViews>
  <sheetFormatPr defaultRowHeight="15" customHeight="1" x14ac:dyDescent="0.35"/>
  <cols>
    <col min="1" max="1" width="19" customWidth="1"/>
    <col min="2" max="2" width="13.1796875" customWidth="1"/>
    <col min="3" max="4" width="11.54296875" customWidth="1"/>
    <col min="5" max="9" width="12.1796875" customWidth="1"/>
    <col min="10" max="10" width="11.81640625" customWidth="1"/>
    <col min="11" max="11" width="5.81640625" customWidth="1"/>
  </cols>
  <sheetData>
    <row r="1" spans="1:11" ht="31.5" customHeight="1" x14ac:dyDescent="0.35">
      <c r="A1" s="10" t="s">
        <v>320</v>
      </c>
      <c r="B1" s="10"/>
      <c r="C1" s="1"/>
      <c r="D1" s="1"/>
      <c r="E1" s="1"/>
      <c r="F1" s="1"/>
      <c r="G1" s="1"/>
      <c r="H1" s="1"/>
      <c r="I1" s="1"/>
      <c r="J1" s="1"/>
      <c r="K1" s="1"/>
    </row>
    <row r="2" spans="1:11" ht="14.5" x14ac:dyDescent="0.35">
      <c r="A2" s="196" t="s">
        <v>321</v>
      </c>
      <c r="B2" s="1" t="s">
        <v>322</v>
      </c>
      <c r="C2" s="1"/>
      <c r="D2" s="1"/>
      <c r="E2" s="1"/>
      <c r="F2" s="1"/>
      <c r="G2" s="1"/>
      <c r="H2" s="1"/>
      <c r="I2" s="1"/>
      <c r="J2" s="1"/>
      <c r="K2" s="1"/>
    </row>
    <row r="3" spans="1:11" ht="14.5" x14ac:dyDescent="0.35">
      <c r="A3" s="196" t="s">
        <v>284</v>
      </c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4.5" x14ac:dyDescent="0.35">
      <c r="A4" s="1013" t="s">
        <v>285</v>
      </c>
      <c r="B4" s="235" t="s">
        <v>286</v>
      </c>
      <c r="C4" s="197" t="s">
        <v>287</v>
      </c>
      <c r="D4" s="197" t="s">
        <v>288</v>
      </c>
      <c r="E4" s="197" t="s">
        <v>288</v>
      </c>
      <c r="F4" s="197" t="s">
        <v>323</v>
      </c>
      <c r="G4" s="197" t="s">
        <v>324</v>
      </c>
      <c r="H4" s="197" t="s">
        <v>324</v>
      </c>
      <c r="I4" s="197"/>
      <c r="J4" s="197" t="s">
        <v>220</v>
      </c>
      <c r="K4" s="197"/>
    </row>
    <row r="5" spans="1:11" ht="14.5" x14ac:dyDescent="0.35">
      <c r="A5" s="1013"/>
      <c r="B5" s="236" t="s">
        <v>290</v>
      </c>
      <c r="C5" s="198" t="s">
        <v>290</v>
      </c>
      <c r="D5" s="198" t="s">
        <v>291</v>
      </c>
      <c r="E5" s="198" t="s">
        <v>291</v>
      </c>
      <c r="F5" s="198" t="s">
        <v>292</v>
      </c>
      <c r="G5" s="198" t="s">
        <v>208</v>
      </c>
      <c r="H5" s="198" t="s">
        <v>208</v>
      </c>
      <c r="I5" s="198"/>
      <c r="J5" s="198" t="s">
        <v>291</v>
      </c>
      <c r="K5" s="198"/>
    </row>
    <row r="6" spans="1:11" ht="26" x14ac:dyDescent="0.35">
      <c r="A6" s="1014"/>
      <c r="B6" s="198"/>
      <c r="C6" s="198"/>
      <c r="D6" s="198" t="s">
        <v>294</v>
      </c>
      <c r="E6" s="198" t="s">
        <v>122</v>
      </c>
      <c r="F6" s="198"/>
      <c r="G6" s="198" t="s">
        <v>295</v>
      </c>
      <c r="H6" s="198" t="s">
        <v>296</v>
      </c>
      <c r="I6" s="198"/>
      <c r="J6" s="198" t="s">
        <v>325</v>
      </c>
      <c r="K6" s="198"/>
    </row>
    <row r="7" spans="1:11" ht="17.149999999999999" customHeight="1" x14ac:dyDescent="0.35">
      <c r="A7" s="1016" t="s">
        <v>297</v>
      </c>
      <c r="B7" s="1016"/>
      <c r="C7" s="189"/>
      <c r="D7" s="189"/>
      <c r="E7" s="189"/>
      <c r="F7" s="189"/>
      <c r="G7" s="189"/>
      <c r="H7" s="189"/>
      <c r="I7" s="189"/>
      <c r="J7" s="189"/>
      <c r="K7" s="189"/>
    </row>
    <row r="8" spans="1:11" ht="17.149999999999999" customHeight="1" x14ac:dyDescent="0.35">
      <c r="A8" s="239">
        <v>2</v>
      </c>
      <c r="B8" s="190">
        <v>800</v>
      </c>
      <c r="C8" s="191">
        <v>1600</v>
      </c>
      <c r="D8" s="238">
        <f>E8-(E8*3/23)</f>
        <v>682.60869565217388</v>
      </c>
      <c r="E8" s="238">
        <f>'Sliding Doors'!L8</f>
        <v>785</v>
      </c>
      <c r="F8" s="237">
        <v>0.1</v>
      </c>
      <c r="G8" s="238">
        <f>D8*0.9</f>
        <v>614.3478260869565</v>
      </c>
      <c r="H8" s="238">
        <f>G8*15%+G8</f>
        <v>706.5</v>
      </c>
      <c r="I8" s="238"/>
      <c r="J8" s="238">
        <f>'Sliding Doors'!M8</f>
        <v>985</v>
      </c>
      <c r="K8" s="192"/>
    </row>
    <row r="9" spans="1:11" ht="17.149999999999999" customHeight="1" x14ac:dyDescent="0.35">
      <c r="A9" s="239">
        <v>2</v>
      </c>
      <c r="B9" s="190">
        <v>1000</v>
      </c>
      <c r="C9" s="191">
        <v>2000</v>
      </c>
      <c r="D9" s="238">
        <f t="shared" ref="D9:D22" si="0">E9-(E9*3/23)</f>
        <v>769.56521739130437</v>
      </c>
      <c r="E9" s="238">
        <f>'Sliding Doors'!L9</f>
        <v>885</v>
      </c>
      <c r="F9" s="237">
        <v>0.1</v>
      </c>
      <c r="G9" s="238">
        <f t="shared" ref="G9:G22" si="1">D9*0.9</f>
        <v>692.60869565217399</v>
      </c>
      <c r="H9" s="238">
        <f t="shared" ref="H9:H22" si="2">G9*15%+G9</f>
        <v>796.50000000000011</v>
      </c>
      <c r="I9" s="238"/>
      <c r="J9" s="238">
        <f>'Sliding Doors'!M9</f>
        <v>1085</v>
      </c>
      <c r="K9" s="192"/>
    </row>
    <row r="10" spans="1:11" ht="17.149999999999999" customHeight="1" x14ac:dyDescent="0.35">
      <c r="A10" s="239">
        <v>2</v>
      </c>
      <c r="B10" s="190">
        <v>1200</v>
      </c>
      <c r="C10" s="191">
        <v>2400</v>
      </c>
      <c r="D10" s="238">
        <f t="shared" si="0"/>
        <v>856.52173913043475</v>
      </c>
      <c r="E10" s="238">
        <f>'Sliding Doors'!L10</f>
        <v>985</v>
      </c>
      <c r="F10" s="237">
        <v>0.1</v>
      </c>
      <c r="G10" s="238">
        <f t="shared" si="1"/>
        <v>770.86956521739125</v>
      </c>
      <c r="H10" s="238">
        <f t="shared" si="2"/>
        <v>886.5</v>
      </c>
      <c r="I10" s="238"/>
      <c r="J10" s="238">
        <f>'Sliding Doors'!M10</f>
        <v>1185</v>
      </c>
      <c r="K10" s="192"/>
    </row>
    <row r="11" spans="1:11" ht="17.149999999999999" customHeight="1" x14ac:dyDescent="0.35">
      <c r="A11" s="239">
        <v>3</v>
      </c>
      <c r="B11" s="190">
        <v>800</v>
      </c>
      <c r="C11" s="191">
        <v>2400</v>
      </c>
      <c r="D11" s="238">
        <f t="shared" si="0"/>
        <v>1043.4782608695652</v>
      </c>
      <c r="E11" s="238">
        <f>'Sliding Doors'!L11</f>
        <v>1200</v>
      </c>
      <c r="F11" s="237">
        <v>0.1</v>
      </c>
      <c r="G11" s="238">
        <f t="shared" si="1"/>
        <v>939.13043478260875</v>
      </c>
      <c r="H11" s="238">
        <f t="shared" si="2"/>
        <v>1080</v>
      </c>
      <c r="I11" s="238"/>
      <c r="J11" s="238">
        <f>'Sliding Doors'!M11</f>
        <v>1400</v>
      </c>
      <c r="K11" s="192"/>
    </row>
    <row r="12" spans="1:11" ht="17.149999999999999" customHeight="1" x14ac:dyDescent="0.35">
      <c r="A12" s="239">
        <v>3</v>
      </c>
      <c r="B12" s="190">
        <v>1000</v>
      </c>
      <c r="C12" s="191">
        <v>3000</v>
      </c>
      <c r="D12" s="238">
        <f t="shared" si="0"/>
        <v>1173.913043478261</v>
      </c>
      <c r="E12" s="238">
        <f>'Sliding Doors'!L12</f>
        <v>1350</v>
      </c>
      <c r="F12" s="237">
        <v>0.1</v>
      </c>
      <c r="G12" s="238">
        <f t="shared" si="1"/>
        <v>1056.521739130435</v>
      </c>
      <c r="H12" s="238">
        <f t="shared" si="2"/>
        <v>1215.0000000000002</v>
      </c>
      <c r="I12" s="238"/>
      <c r="J12" s="238">
        <f>'Sliding Doors'!M12</f>
        <v>1550</v>
      </c>
      <c r="K12" s="192"/>
    </row>
    <row r="13" spans="1:11" ht="17.149999999999999" customHeight="1" x14ac:dyDescent="0.35">
      <c r="A13" s="251">
        <v>3</v>
      </c>
      <c r="B13" s="252">
        <v>1200</v>
      </c>
      <c r="C13" s="253">
        <v>3600</v>
      </c>
      <c r="D13" s="254">
        <f t="shared" si="0"/>
        <v>1304.3478260869565</v>
      </c>
      <c r="E13" s="254">
        <f>'Sliding Doors'!L13</f>
        <v>1500</v>
      </c>
      <c r="F13" s="255">
        <v>0.1</v>
      </c>
      <c r="G13" s="254">
        <f t="shared" si="1"/>
        <v>1173.913043478261</v>
      </c>
      <c r="H13" s="254">
        <f t="shared" si="2"/>
        <v>1350.0000000000002</v>
      </c>
      <c r="I13" s="254"/>
      <c r="J13" s="254">
        <f>'Sliding Doors'!M13</f>
        <v>1700</v>
      </c>
      <c r="K13" s="192"/>
    </row>
    <row r="14" spans="1:11" ht="17.149999999999999" customHeight="1" x14ac:dyDescent="0.35">
      <c r="A14" s="239">
        <v>4</v>
      </c>
      <c r="B14" s="190">
        <v>800</v>
      </c>
      <c r="C14" s="191">
        <v>3200</v>
      </c>
      <c r="D14" s="238">
        <f t="shared" si="0"/>
        <v>1304.3478260869565</v>
      </c>
      <c r="E14" s="238">
        <f>'Sliding Doors'!L14</f>
        <v>1500</v>
      </c>
      <c r="F14" s="237">
        <v>0.1</v>
      </c>
      <c r="G14" s="238">
        <f t="shared" si="1"/>
        <v>1173.913043478261</v>
      </c>
      <c r="H14" s="238">
        <f t="shared" si="2"/>
        <v>1350.0000000000002</v>
      </c>
      <c r="I14" s="238"/>
      <c r="J14" s="238">
        <f>'Sliding Doors'!M14</f>
        <v>1700</v>
      </c>
      <c r="K14" s="192"/>
    </row>
    <row r="15" spans="1:11" ht="17.149999999999999" customHeight="1" x14ac:dyDescent="0.35">
      <c r="A15" s="239">
        <v>4</v>
      </c>
      <c r="B15" s="190">
        <v>1000</v>
      </c>
      <c r="C15" s="191">
        <v>4000</v>
      </c>
      <c r="D15" s="238">
        <f t="shared" si="0"/>
        <v>1478.2608695652175</v>
      </c>
      <c r="E15" s="238">
        <f>'Sliding Doors'!L15</f>
        <v>1700</v>
      </c>
      <c r="F15" s="237">
        <v>0.1</v>
      </c>
      <c r="G15" s="238">
        <f t="shared" si="1"/>
        <v>1330.4347826086957</v>
      </c>
      <c r="H15" s="238">
        <f t="shared" si="2"/>
        <v>1530</v>
      </c>
      <c r="I15" s="238"/>
      <c r="J15" s="238">
        <f>'Sliding Doors'!M15</f>
        <v>1900</v>
      </c>
      <c r="K15" s="192"/>
    </row>
    <row r="16" spans="1:11" ht="17.149999999999999" customHeight="1" x14ac:dyDescent="0.35">
      <c r="A16" s="251">
        <v>4</v>
      </c>
      <c r="B16" s="252">
        <v>1200</v>
      </c>
      <c r="C16" s="253">
        <v>4800</v>
      </c>
      <c r="D16" s="254">
        <f t="shared" si="0"/>
        <v>1652.1739130434783</v>
      </c>
      <c r="E16" s="254">
        <f>'Sliding Doors'!L16</f>
        <v>1900</v>
      </c>
      <c r="F16" s="255">
        <v>0.1</v>
      </c>
      <c r="G16" s="254">
        <f t="shared" si="1"/>
        <v>1486.9565217391305</v>
      </c>
      <c r="H16" s="254">
        <f t="shared" si="2"/>
        <v>1710</v>
      </c>
      <c r="I16" s="254"/>
      <c r="J16" s="254">
        <f>'Sliding Doors'!M16</f>
        <v>2100</v>
      </c>
      <c r="K16" s="192"/>
    </row>
    <row r="17" spans="1:11" ht="17.149999999999999" customHeight="1" x14ac:dyDescent="0.35">
      <c r="A17" s="1017" t="s">
        <v>233</v>
      </c>
      <c r="B17" s="1017"/>
      <c r="C17" s="191"/>
      <c r="D17" s="238"/>
      <c r="E17" s="238"/>
      <c r="F17" s="237"/>
      <c r="G17" s="238"/>
      <c r="H17" s="238"/>
      <c r="I17" s="238"/>
      <c r="J17" s="238"/>
      <c r="K17" s="191"/>
    </row>
    <row r="18" spans="1:11" ht="17.149999999999999" customHeight="1" x14ac:dyDescent="0.35">
      <c r="A18" s="239">
        <v>3</v>
      </c>
      <c r="B18" s="191">
        <v>800</v>
      </c>
      <c r="C18" s="191">
        <v>2400</v>
      </c>
      <c r="D18" s="238">
        <f t="shared" si="0"/>
        <v>1117.391304347826</v>
      </c>
      <c r="E18" s="238">
        <f>'Sliding Doors'!L18</f>
        <v>1285</v>
      </c>
      <c r="F18" s="237">
        <v>0.1</v>
      </c>
      <c r="G18" s="238">
        <f t="shared" si="1"/>
        <v>1005.6521739130434</v>
      </c>
      <c r="H18" s="238">
        <f t="shared" si="2"/>
        <v>1156.5</v>
      </c>
      <c r="I18" s="238"/>
      <c r="J18" s="238">
        <f>'Sliding Doors'!M18</f>
        <v>1485</v>
      </c>
      <c r="K18" s="192"/>
    </row>
    <row r="19" spans="1:11" ht="17.149999999999999" customHeight="1" x14ac:dyDescent="0.35">
      <c r="A19" s="239">
        <v>3</v>
      </c>
      <c r="B19" s="191">
        <v>1000</v>
      </c>
      <c r="C19" s="191">
        <v>3000</v>
      </c>
      <c r="D19" s="238">
        <f t="shared" si="0"/>
        <v>1378.2608695652175</v>
      </c>
      <c r="E19" s="238">
        <f>'Sliding Doors'!L19</f>
        <v>1585</v>
      </c>
      <c r="F19" s="237">
        <v>0.1</v>
      </c>
      <c r="G19" s="238">
        <f t="shared" si="1"/>
        <v>1240.4347826086957</v>
      </c>
      <c r="H19" s="238">
        <f t="shared" si="2"/>
        <v>1426.5</v>
      </c>
      <c r="I19" s="238"/>
      <c r="J19" s="238">
        <f>'Sliding Doors'!M19</f>
        <v>1785</v>
      </c>
      <c r="K19" s="192"/>
    </row>
    <row r="20" spans="1:11" ht="17.149999999999999" customHeight="1" x14ac:dyDescent="0.35">
      <c r="A20" s="251">
        <v>3</v>
      </c>
      <c r="B20" s="253">
        <v>1200</v>
      </c>
      <c r="C20" s="253">
        <v>3600</v>
      </c>
      <c r="D20" s="254">
        <f t="shared" si="0"/>
        <v>1639.1304347826087</v>
      </c>
      <c r="E20" s="254">
        <f>'Sliding Doors'!L20</f>
        <v>1885</v>
      </c>
      <c r="F20" s="255">
        <v>0.1</v>
      </c>
      <c r="G20" s="254">
        <f t="shared" si="1"/>
        <v>1475.217391304348</v>
      </c>
      <c r="H20" s="254">
        <f t="shared" si="2"/>
        <v>1696.5000000000002</v>
      </c>
      <c r="I20" s="254"/>
      <c r="J20" s="254">
        <f>'Sliding Doors'!M20</f>
        <v>2085</v>
      </c>
      <c r="K20" s="192"/>
    </row>
    <row r="21" spans="1:11" ht="27" customHeight="1" x14ac:dyDescent="0.35">
      <c r="A21" s="240" t="s">
        <v>298</v>
      </c>
      <c r="B21" s="191"/>
      <c r="C21" s="191" t="s">
        <v>299</v>
      </c>
      <c r="D21" s="238">
        <f t="shared" si="0"/>
        <v>282.60869565217394</v>
      </c>
      <c r="E21" s="238">
        <f>'Sliding Doors'!M21</f>
        <v>325</v>
      </c>
      <c r="F21" s="237">
        <v>0.1</v>
      </c>
      <c r="G21" s="238">
        <f t="shared" si="1"/>
        <v>254.34782608695656</v>
      </c>
      <c r="H21" s="238">
        <f t="shared" si="2"/>
        <v>292.50000000000006</v>
      </c>
      <c r="I21" s="238"/>
      <c r="J21" s="238"/>
      <c r="K21" s="192"/>
    </row>
    <row r="22" spans="1:11" ht="21" customHeight="1" x14ac:dyDescent="0.35">
      <c r="A22" s="194" t="s">
        <v>326</v>
      </c>
      <c r="B22" s="193"/>
      <c r="C22" s="193" t="s">
        <v>299</v>
      </c>
      <c r="D22" s="238">
        <f t="shared" si="0"/>
        <v>378.26086956521738</v>
      </c>
      <c r="E22" s="238">
        <f>'Sliding Doors'!M22</f>
        <v>435</v>
      </c>
      <c r="F22" s="237">
        <v>0.1</v>
      </c>
      <c r="G22" s="238">
        <f t="shared" si="1"/>
        <v>340.43478260869563</v>
      </c>
      <c r="H22" s="238">
        <f t="shared" si="2"/>
        <v>391.5</v>
      </c>
      <c r="I22" s="192"/>
      <c r="J22" s="193"/>
      <c r="K22" s="193"/>
    </row>
    <row r="23" spans="1:11" ht="20.25" customHeight="1" x14ac:dyDescent="0.35">
      <c r="A23" s="1" t="s">
        <v>300</v>
      </c>
    </row>
    <row r="24" spans="1:11" ht="20.25" customHeight="1" x14ac:dyDescent="0.35">
      <c r="A24" s="194" t="s">
        <v>301</v>
      </c>
      <c r="B24" s="193"/>
      <c r="C24" s="193"/>
      <c r="D24" s="193"/>
      <c r="E24" s="193"/>
      <c r="F24" s="193"/>
      <c r="G24" s="193"/>
      <c r="H24" s="193"/>
      <c r="I24" s="193"/>
      <c r="J24" s="193"/>
    </row>
    <row r="25" spans="1:11" ht="20.25" customHeight="1" x14ac:dyDescent="0.35">
      <c r="A25" s="234" t="s">
        <v>302</v>
      </c>
      <c r="B25" s="193"/>
      <c r="C25" s="193"/>
      <c r="D25" s="193"/>
      <c r="E25" s="193"/>
      <c r="F25" s="193"/>
      <c r="G25" s="193"/>
      <c r="H25" s="193"/>
      <c r="I25" s="193"/>
      <c r="J25" s="193"/>
    </row>
    <row r="26" spans="1:11" ht="20.25" customHeight="1" x14ac:dyDescent="0.35">
      <c r="A26" s="194" t="s">
        <v>303</v>
      </c>
      <c r="B26" s="193"/>
      <c r="C26" s="193"/>
      <c r="D26" s="193"/>
      <c r="E26" s="193"/>
      <c r="F26" s="193"/>
      <c r="G26" s="193"/>
      <c r="H26" s="193"/>
      <c r="I26" s="193"/>
      <c r="J26" s="193"/>
    </row>
    <row r="27" spans="1:11" ht="20.149999999999999" customHeight="1" x14ac:dyDescent="0.35">
      <c r="A27" s="195" t="s">
        <v>327</v>
      </c>
    </row>
    <row r="28" spans="1:11" ht="14.5" x14ac:dyDescent="0.35">
      <c r="A28" s="1" t="s">
        <v>328</v>
      </c>
      <c r="B28" s="1"/>
      <c r="C28" s="1"/>
      <c r="D28" s="1"/>
      <c r="E28" s="1"/>
      <c r="F28" s="1"/>
      <c r="G28" s="1"/>
      <c r="H28" s="1"/>
      <c r="I28" s="1"/>
      <c r="J28" s="1"/>
    </row>
    <row r="29" spans="1:11" ht="14.5" x14ac:dyDescent="0.35">
      <c r="A29" s="199" t="s">
        <v>329</v>
      </c>
      <c r="B29" s="1"/>
      <c r="C29" s="1"/>
      <c r="D29" s="1"/>
      <c r="E29" s="1"/>
      <c r="F29" s="1"/>
      <c r="G29" s="1"/>
      <c r="H29" s="1"/>
      <c r="I29" s="1"/>
      <c r="J29" s="1"/>
    </row>
    <row r="30" spans="1:11" ht="14.5" x14ac:dyDescent="0.35">
      <c r="A30" s="26"/>
      <c r="B30" s="200" t="s">
        <v>323</v>
      </c>
      <c r="C30" s="200" t="s">
        <v>330</v>
      </c>
      <c r="D30" s="200"/>
      <c r="E30" s="26"/>
      <c r="F30" s="26"/>
      <c r="G30" s="26"/>
      <c r="H30" s="26"/>
      <c r="I30" s="26"/>
      <c r="J30" s="26"/>
    </row>
    <row r="31" spans="1:11" ht="14.5" x14ac:dyDescent="0.35">
      <c r="A31" s="26" t="s">
        <v>88</v>
      </c>
      <c r="B31" s="77">
        <v>355</v>
      </c>
      <c r="C31" s="26">
        <v>395</v>
      </c>
      <c r="D31" s="26"/>
      <c r="E31" s="201">
        <f>B31-C31</f>
        <v>-40</v>
      </c>
      <c r="F31" s="201"/>
      <c r="G31" s="201"/>
      <c r="H31" s="201"/>
      <c r="I31" s="201"/>
      <c r="J31" s="202">
        <f>E31/C31</f>
        <v>-0.10126582278481013</v>
      </c>
    </row>
    <row r="32" spans="1:11" ht="14.5" x14ac:dyDescent="0.35">
      <c r="A32" s="26" t="s">
        <v>90</v>
      </c>
      <c r="B32" s="77">
        <v>535</v>
      </c>
      <c r="C32" s="26">
        <v>595</v>
      </c>
      <c r="D32" s="26"/>
      <c r="E32" s="201">
        <f t="shared" ref="E32:E35" si="3">B32-C32</f>
        <v>-60</v>
      </c>
      <c r="F32" s="201"/>
      <c r="G32" s="201"/>
      <c r="H32" s="201"/>
      <c r="I32" s="201"/>
      <c r="J32" s="202">
        <f>E32/C32</f>
        <v>-0.10084033613445378</v>
      </c>
    </row>
    <row r="33" spans="1:10" ht="14.5" x14ac:dyDescent="0.35">
      <c r="A33" s="26" t="s">
        <v>96</v>
      </c>
      <c r="B33" s="77">
        <v>640</v>
      </c>
      <c r="C33" s="26">
        <v>715</v>
      </c>
      <c r="D33" s="26"/>
      <c r="E33" s="201">
        <f t="shared" si="3"/>
        <v>-75</v>
      </c>
      <c r="F33" s="201"/>
      <c r="G33" s="201"/>
      <c r="H33" s="201"/>
      <c r="I33" s="201"/>
      <c r="J33" s="202">
        <f>E33/C33</f>
        <v>-0.1048951048951049</v>
      </c>
    </row>
    <row r="34" spans="1:10" ht="14.5" x14ac:dyDescent="0.35">
      <c r="A34" s="26" t="s">
        <v>100</v>
      </c>
      <c r="B34" s="77">
        <v>890</v>
      </c>
      <c r="C34" s="26">
        <v>985</v>
      </c>
      <c r="D34" s="26"/>
      <c r="E34" s="201">
        <f t="shared" si="3"/>
        <v>-95</v>
      </c>
      <c r="F34" s="201"/>
      <c r="G34" s="201"/>
      <c r="H34" s="201"/>
      <c r="I34" s="201"/>
      <c r="J34" s="202">
        <f>E34/C34</f>
        <v>-9.6446700507614211E-2</v>
      </c>
    </row>
    <row r="35" spans="1:10" ht="14.5" x14ac:dyDescent="0.35">
      <c r="A35" s="26" t="s">
        <v>108</v>
      </c>
      <c r="B35" s="77">
        <v>1335</v>
      </c>
      <c r="C35" s="26">
        <v>1490</v>
      </c>
      <c r="D35" s="26"/>
      <c r="E35" s="201">
        <f t="shared" si="3"/>
        <v>-155</v>
      </c>
      <c r="F35" s="201"/>
      <c r="G35" s="201"/>
      <c r="H35" s="201"/>
      <c r="I35" s="201"/>
      <c r="J35" s="202">
        <f>E35/C35</f>
        <v>-0.1040268456375839</v>
      </c>
    </row>
    <row r="36" spans="1:10" ht="14.5" x14ac:dyDescent="0.35">
      <c r="A36" s="26" t="s">
        <v>331</v>
      </c>
      <c r="B36" s="26" t="s">
        <v>332</v>
      </c>
      <c r="C36" s="26"/>
      <c r="D36" s="26"/>
      <c r="E36" s="26"/>
      <c r="F36" s="26"/>
      <c r="G36" s="26"/>
      <c r="H36" s="26"/>
      <c r="I36" s="26"/>
      <c r="J36" s="26"/>
    </row>
    <row r="39" spans="1:10" ht="20.25" customHeight="1" x14ac:dyDescent="0.35">
      <c r="A39" s="194" t="s">
        <v>304</v>
      </c>
      <c r="B39" s="193"/>
      <c r="C39" s="193"/>
      <c r="D39" s="193"/>
      <c r="E39" s="193"/>
      <c r="F39" s="193"/>
      <c r="G39" s="193"/>
      <c r="H39" s="193"/>
      <c r="I39" s="193"/>
      <c r="J39" s="193"/>
    </row>
    <row r="40" spans="1:10" ht="20.25" customHeight="1" x14ac:dyDescent="0.35"/>
  </sheetData>
  <mergeCells count="3">
    <mergeCell ref="A4:A6"/>
    <mergeCell ref="A7:B7"/>
    <mergeCell ref="A17:B17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DBFE3-9478-4B9F-A5C5-F135A4E36AAA}">
  <dimension ref="A1:F56"/>
  <sheetViews>
    <sheetView workbookViewId="0">
      <selection activeCell="A59" sqref="A59"/>
    </sheetView>
  </sheetViews>
  <sheetFormatPr defaultRowHeight="14.5" x14ac:dyDescent="0.35"/>
  <cols>
    <col min="1" max="1" width="22.1796875" customWidth="1"/>
    <col min="2" max="2" width="11.453125" customWidth="1"/>
    <col min="5" max="5" width="9.1796875" bestFit="1" customWidth="1"/>
  </cols>
  <sheetData>
    <row r="1" spans="1:6" ht="30.75" customHeight="1" x14ac:dyDescent="0.35">
      <c r="A1" t="s">
        <v>333</v>
      </c>
    </row>
    <row r="2" spans="1:6" ht="29" x14ac:dyDescent="0.35">
      <c r="A2" s="241"/>
      <c r="B2" s="242" t="s">
        <v>307</v>
      </c>
      <c r="C2" s="242" t="s">
        <v>122</v>
      </c>
      <c r="D2" s="242" t="s">
        <v>334</v>
      </c>
      <c r="E2" s="242" t="s">
        <v>335</v>
      </c>
      <c r="F2" s="242" t="s">
        <v>336</v>
      </c>
    </row>
    <row r="3" spans="1:6" ht="20.25" customHeight="1" x14ac:dyDescent="0.35">
      <c r="A3" s="241" t="str">
        <f>'I Robe Set Combos'!A3</f>
        <v>I Robe 1</v>
      </c>
      <c r="B3" s="243">
        <f>C3-(C3*3/23)</f>
        <v>247.82608695652175</v>
      </c>
      <c r="C3" s="241">
        <f>'I Robe Set Combos'!D3</f>
        <v>285</v>
      </c>
      <c r="D3" s="244">
        <v>0.1</v>
      </c>
      <c r="E3" s="243">
        <f>B3*0.9</f>
        <v>223.04347826086959</v>
      </c>
      <c r="F3" s="243">
        <f>E3*15%+E3</f>
        <v>256.5</v>
      </c>
    </row>
    <row r="4" spans="1:6" ht="20.25" customHeight="1" x14ac:dyDescent="0.35">
      <c r="A4" s="241" t="str">
        <f>'I Robe Set Combos'!A4</f>
        <v>I Robe 1A</v>
      </c>
      <c r="B4" s="243">
        <f t="shared" ref="B4:B37" si="0">C4-(C4*3/23)</f>
        <v>465.21739130434781</v>
      </c>
      <c r="C4" s="241">
        <f>'I Robe Set Combos'!D4</f>
        <v>535</v>
      </c>
      <c r="D4" s="244">
        <v>0.1</v>
      </c>
      <c r="E4" s="243">
        <f t="shared" ref="E4:E37" si="1">B4*0.9</f>
        <v>418.69565217391306</v>
      </c>
      <c r="F4" s="243">
        <f t="shared" ref="F4:F37" si="2">E4*15%+E4</f>
        <v>481.5</v>
      </c>
    </row>
    <row r="5" spans="1:6" ht="20.25" customHeight="1" x14ac:dyDescent="0.35">
      <c r="A5" s="241" t="str">
        <f>'I Robe Set Combos'!A5</f>
        <v>I Robe 2</v>
      </c>
      <c r="B5" s="243">
        <f t="shared" si="0"/>
        <v>430.43478260869563</v>
      </c>
      <c r="C5" s="241">
        <f>'I Robe Set Combos'!D5</f>
        <v>495</v>
      </c>
      <c r="D5" s="244">
        <v>0.1</v>
      </c>
      <c r="E5" s="243">
        <f t="shared" si="1"/>
        <v>387.39130434782606</v>
      </c>
      <c r="F5" s="243">
        <f t="shared" si="2"/>
        <v>445.5</v>
      </c>
    </row>
    <row r="6" spans="1:6" ht="20.25" customHeight="1" x14ac:dyDescent="0.35">
      <c r="A6" s="241" t="str">
        <f>'I Robe Set Combos'!A6</f>
        <v>I Robe 2A</v>
      </c>
      <c r="B6" s="243">
        <f t="shared" si="0"/>
        <v>430.43478260869563</v>
      </c>
      <c r="C6" s="241">
        <f>'I Robe Set Combos'!D6</f>
        <v>495</v>
      </c>
      <c r="D6" s="244">
        <v>0.1</v>
      </c>
      <c r="E6" s="243">
        <f t="shared" si="1"/>
        <v>387.39130434782606</v>
      </c>
      <c r="F6" s="243">
        <f t="shared" si="2"/>
        <v>445.5</v>
      </c>
    </row>
    <row r="7" spans="1:6" ht="20.25" customHeight="1" x14ac:dyDescent="0.35">
      <c r="A7" s="241" t="str">
        <f>'I Robe Set Combos'!A7</f>
        <v>I Robe 3</v>
      </c>
      <c r="B7" s="243">
        <f t="shared" si="0"/>
        <v>604.3478260869565</v>
      </c>
      <c r="C7" s="241">
        <f>'I Robe Set Combos'!D7</f>
        <v>695</v>
      </c>
      <c r="D7" s="244">
        <v>0.1</v>
      </c>
      <c r="E7" s="243">
        <f t="shared" si="1"/>
        <v>543.91304347826087</v>
      </c>
      <c r="F7" s="243">
        <f t="shared" si="2"/>
        <v>625.5</v>
      </c>
    </row>
    <row r="8" spans="1:6" ht="20.25" customHeight="1" x14ac:dyDescent="0.35">
      <c r="A8" s="241" t="str">
        <f>'I Robe Set Combos'!A8</f>
        <v>I Robe 3A</v>
      </c>
      <c r="B8" s="243">
        <f t="shared" si="0"/>
        <v>604.3478260869565</v>
      </c>
      <c r="C8" s="241">
        <f>'I Robe Set Combos'!D8</f>
        <v>695</v>
      </c>
      <c r="D8" s="244">
        <v>0.1</v>
      </c>
      <c r="E8" s="243">
        <f t="shared" si="1"/>
        <v>543.91304347826087</v>
      </c>
      <c r="F8" s="243">
        <f t="shared" si="2"/>
        <v>625.5</v>
      </c>
    </row>
    <row r="9" spans="1:6" ht="20.25" customHeight="1" x14ac:dyDescent="0.35">
      <c r="A9" s="241" t="str">
        <f>'I Robe Set Combos'!A9</f>
        <v>I Robe 3B</v>
      </c>
      <c r="B9" s="243">
        <f t="shared" si="0"/>
        <v>856.52173913043475</v>
      </c>
      <c r="C9" s="241">
        <f>'I Robe Set Combos'!D9</f>
        <v>985</v>
      </c>
      <c r="D9" s="244">
        <v>0.1</v>
      </c>
      <c r="E9" s="243">
        <f t="shared" si="1"/>
        <v>770.86956521739125</v>
      </c>
      <c r="F9" s="243">
        <f t="shared" si="2"/>
        <v>886.5</v>
      </c>
    </row>
    <row r="10" spans="1:6" ht="20.25" customHeight="1" x14ac:dyDescent="0.35">
      <c r="A10" s="241" t="str">
        <f>'I Robe Set Combos'!A10</f>
        <v>I  Robe 3B 6Drw</v>
      </c>
      <c r="B10" s="243">
        <f t="shared" si="0"/>
        <v>1108.695652173913</v>
      </c>
      <c r="C10" s="241">
        <f>'I Robe Set Combos'!D10</f>
        <v>1275</v>
      </c>
      <c r="D10" s="244">
        <v>0.1</v>
      </c>
      <c r="E10" s="243">
        <f t="shared" si="1"/>
        <v>997.82608695652175</v>
      </c>
      <c r="F10" s="243">
        <f t="shared" si="2"/>
        <v>1147.5</v>
      </c>
    </row>
    <row r="11" spans="1:6" ht="20.25" customHeight="1" x14ac:dyDescent="0.35">
      <c r="A11" s="241" t="str">
        <f>'I Robe Set Combos'!A11</f>
        <v>I Robe 3C</v>
      </c>
      <c r="B11" s="243">
        <f t="shared" si="0"/>
        <v>856.52173913043475</v>
      </c>
      <c r="C11" s="241">
        <f>'I Robe Set Combos'!D11</f>
        <v>985</v>
      </c>
      <c r="D11" s="244">
        <v>0.1</v>
      </c>
      <c r="E11" s="243">
        <f t="shared" si="1"/>
        <v>770.86956521739125</v>
      </c>
      <c r="F11" s="243">
        <f t="shared" si="2"/>
        <v>886.5</v>
      </c>
    </row>
    <row r="12" spans="1:6" ht="20.25" customHeight="1" x14ac:dyDescent="0.35">
      <c r="A12" s="241" t="str">
        <f>'I Robe Set Combos'!A12</f>
        <v>I Robe 3C 6 Drw</v>
      </c>
      <c r="B12" s="243">
        <f t="shared" si="0"/>
        <v>1065.2173913043478</v>
      </c>
      <c r="C12" s="241">
        <f>'I Robe Set Combos'!D12</f>
        <v>1225</v>
      </c>
      <c r="D12" s="244">
        <v>0.1</v>
      </c>
      <c r="E12" s="243">
        <f t="shared" si="1"/>
        <v>958.695652173913</v>
      </c>
      <c r="F12" s="243">
        <f t="shared" si="2"/>
        <v>1102.5</v>
      </c>
    </row>
    <row r="13" spans="1:6" ht="20.25" customHeight="1" x14ac:dyDescent="0.35">
      <c r="A13" s="241" t="str">
        <f>'I Robe Set Combos'!A13</f>
        <v>I Robe 4</v>
      </c>
      <c r="B13" s="243">
        <f t="shared" si="0"/>
        <v>708.695652173913</v>
      </c>
      <c r="C13" s="241">
        <f>'I Robe Set Combos'!D13</f>
        <v>815</v>
      </c>
      <c r="D13" s="244">
        <v>0.1</v>
      </c>
      <c r="E13" s="243">
        <f t="shared" si="1"/>
        <v>637.82608695652175</v>
      </c>
      <c r="F13" s="243">
        <f t="shared" si="2"/>
        <v>733.5</v>
      </c>
    </row>
    <row r="14" spans="1:6" ht="20.25" customHeight="1" x14ac:dyDescent="0.35">
      <c r="A14" s="241" t="str">
        <f>'I Robe Set Combos'!A14</f>
        <v>I Robe 4A</v>
      </c>
      <c r="B14" s="243">
        <f t="shared" si="0"/>
        <v>708.695652173913</v>
      </c>
      <c r="C14" s="241">
        <f>'I Robe Set Combos'!D14</f>
        <v>815</v>
      </c>
      <c r="D14" s="244">
        <v>0.1</v>
      </c>
      <c r="E14" s="243">
        <f t="shared" si="1"/>
        <v>637.82608695652175</v>
      </c>
      <c r="F14" s="243">
        <f t="shared" si="2"/>
        <v>733.5</v>
      </c>
    </row>
    <row r="15" spans="1:6" ht="20.25" customHeight="1" x14ac:dyDescent="0.35">
      <c r="A15" s="241" t="str">
        <f>'I Robe Set Combos'!A15</f>
        <v>I Robe 4B</v>
      </c>
      <c r="B15" s="243">
        <f t="shared" si="0"/>
        <v>708.695652173913</v>
      </c>
      <c r="C15" s="241">
        <f>'I Robe Set Combos'!D15</f>
        <v>815</v>
      </c>
      <c r="D15" s="244">
        <v>0.1</v>
      </c>
      <c r="E15" s="243">
        <f t="shared" si="1"/>
        <v>637.82608695652175</v>
      </c>
      <c r="F15" s="243">
        <f t="shared" si="2"/>
        <v>733.5</v>
      </c>
    </row>
    <row r="16" spans="1:6" ht="20.25" customHeight="1" x14ac:dyDescent="0.35">
      <c r="A16" s="241" t="str">
        <f>'I Robe Set Combos'!A16</f>
        <v>I Robe 4C</v>
      </c>
      <c r="B16" s="243">
        <f t="shared" si="0"/>
        <v>708.695652173913</v>
      </c>
      <c r="C16" s="241">
        <f>'I Robe Set Combos'!D16</f>
        <v>815</v>
      </c>
      <c r="D16" s="244">
        <v>0.1</v>
      </c>
      <c r="E16" s="243">
        <f t="shared" si="1"/>
        <v>637.82608695652175</v>
      </c>
      <c r="F16" s="243">
        <f t="shared" si="2"/>
        <v>733.5</v>
      </c>
    </row>
    <row r="17" spans="1:6" ht="20.25" customHeight="1" x14ac:dyDescent="0.35">
      <c r="A17" s="241" t="str">
        <f>'I Robe Set Combos'!A17</f>
        <v>I Robe 5</v>
      </c>
      <c r="B17" s="243">
        <f t="shared" si="0"/>
        <v>978.26086956521738</v>
      </c>
      <c r="C17" s="241">
        <f>'I Robe Set Combos'!D17</f>
        <v>1125</v>
      </c>
      <c r="D17" s="244">
        <v>0.1</v>
      </c>
      <c r="E17" s="243">
        <f t="shared" si="1"/>
        <v>880.43478260869563</v>
      </c>
      <c r="F17" s="243">
        <f t="shared" si="2"/>
        <v>1012.5</v>
      </c>
    </row>
    <row r="18" spans="1:6" ht="20.25" customHeight="1" x14ac:dyDescent="0.35">
      <c r="A18" s="241" t="str">
        <f>'I Robe Set Combos'!A18</f>
        <v>I Robe 5 6 Drw</v>
      </c>
      <c r="B18" s="243">
        <f t="shared" si="0"/>
        <v>1152.1739130434783</v>
      </c>
      <c r="C18" s="241">
        <f>'I Robe Set Combos'!D18</f>
        <v>1325</v>
      </c>
      <c r="D18" s="244">
        <v>0.1</v>
      </c>
      <c r="E18" s="243">
        <f t="shared" si="1"/>
        <v>1036.9565217391305</v>
      </c>
      <c r="F18" s="243">
        <f t="shared" si="2"/>
        <v>1192.5</v>
      </c>
    </row>
    <row r="19" spans="1:6" ht="20.25" customHeight="1" x14ac:dyDescent="0.35">
      <c r="A19" s="241" t="str">
        <f>'I Robe Set Combos'!A19</f>
        <v>I Robe 5A</v>
      </c>
      <c r="B19" s="243">
        <f t="shared" si="0"/>
        <v>978.26086956521738</v>
      </c>
      <c r="C19" s="241">
        <f>'I Robe Set Combos'!D19</f>
        <v>1125</v>
      </c>
      <c r="D19" s="244">
        <v>0.1</v>
      </c>
      <c r="E19" s="243">
        <f t="shared" si="1"/>
        <v>880.43478260869563</v>
      </c>
      <c r="F19" s="243">
        <f t="shared" si="2"/>
        <v>1012.5</v>
      </c>
    </row>
    <row r="20" spans="1:6" ht="20.25" customHeight="1" x14ac:dyDescent="0.35">
      <c r="A20" s="241" t="str">
        <f>'I Robe Set Combos'!A20</f>
        <v>I Robe 5A 6 Drw</v>
      </c>
      <c r="B20" s="243">
        <f t="shared" si="0"/>
        <v>1152.1739130434783</v>
      </c>
      <c r="C20" s="241">
        <f>'I Robe Set Combos'!D20</f>
        <v>1325</v>
      </c>
      <c r="D20" s="244">
        <v>0.1</v>
      </c>
      <c r="E20" s="243">
        <f t="shared" si="1"/>
        <v>1036.9565217391305</v>
      </c>
      <c r="F20" s="243">
        <f t="shared" si="2"/>
        <v>1192.5</v>
      </c>
    </row>
    <row r="21" spans="1:6" ht="20.25" customHeight="1" x14ac:dyDescent="0.35">
      <c r="A21" s="241" t="str">
        <f>'I Robe Set Combos'!A21</f>
        <v xml:space="preserve">I Robe 5B </v>
      </c>
      <c r="B21" s="243">
        <f t="shared" si="0"/>
        <v>978.26086956521738</v>
      </c>
      <c r="C21" s="241">
        <f>'I Robe Set Combos'!D21</f>
        <v>1125</v>
      </c>
      <c r="D21" s="244">
        <v>0.1</v>
      </c>
      <c r="E21" s="243">
        <f t="shared" si="1"/>
        <v>880.43478260869563</v>
      </c>
      <c r="F21" s="243">
        <f t="shared" si="2"/>
        <v>1012.5</v>
      </c>
    </row>
    <row r="22" spans="1:6" ht="20.25" customHeight="1" x14ac:dyDescent="0.35">
      <c r="A22" s="241" t="str">
        <f>'I Robe Set Combos'!A22</f>
        <v>I Robe 5B 6 Drw</v>
      </c>
      <c r="B22" s="243">
        <f t="shared" si="0"/>
        <v>1152.1739130434783</v>
      </c>
      <c r="C22" s="241">
        <f>'I Robe Set Combos'!D22</f>
        <v>1325</v>
      </c>
      <c r="D22" s="244">
        <v>0.1</v>
      </c>
      <c r="E22" s="243">
        <f t="shared" si="1"/>
        <v>1036.9565217391305</v>
      </c>
      <c r="F22" s="243">
        <f t="shared" si="2"/>
        <v>1192.5</v>
      </c>
    </row>
    <row r="23" spans="1:6" ht="20.25" customHeight="1" x14ac:dyDescent="0.35">
      <c r="A23" s="241" t="str">
        <f>'I Robe Set Combos'!A23</f>
        <v>I Robe 5C</v>
      </c>
      <c r="B23" s="243">
        <f t="shared" si="0"/>
        <v>978.26086956521738</v>
      </c>
      <c r="C23" s="241">
        <f>'I Robe Set Combos'!D23</f>
        <v>1125</v>
      </c>
      <c r="D23" s="244">
        <v>0.1</v>
      </c>
      <c r="E23" s="243">
        <f t="shared" si="1"/>
        <v>880.43478260869563</v>
      </c>
      <c r="F23" s="243">
        <f t="shared" si="2"/>
        <v>1012.5</v>
      </c>
    </row>
    <row r="24" spans="1:6" ht="20.25" customHeight="1" x14ac:dyDescent="0.35">
      <c r="A24" s="241" t="str">
        <f>'I Robe Set Combos'!A24</f>
        <v>I Robe 5C 6 Drw</v>
      </c>
      <c r="B24" s="243">
        <f t="shared" si="0"/>
        <v>1152.1739130434783</v>
      </c>
      <c r="C24" s="241">
        <f>'I Robe Set Combos'!D24</f>
        <v>1325</v>
      </c>
      <c r="D24" s="244">
        <v>0.1</v>
      </c>
      <c r="E24" s="243">
        <f t="shared" si="1"/>
        <v>1036.9565217391305</v>
      </c>
      <c r="F24" s="243">
        <f t="shared" si="2"/>
        <v>1192.5</v>
      </c>
    </row>
    <row r="25" spans="1:6" ht="20.25" customHeight="1" x14ac:dyDescent="0.35">
      <c r="A25" s="241" t="str">
        <f>'I Robe Set Combos'!A25</f>
        <v>I Robe 6</v>
      </c>
      <c r="B25" s="243">
        <f t="shared" si="0"/>
        <v>1408.695652173913</v>
      </c>
      <c r="C25" s="241">
        <f>'I Robe Set Combos'!D25</f>
        <v>1620</v>
      </c>
      <c r="D25" s="244">
        <v>0.1</v>
      </c>
      <c r="E25" s="243">
        <f t="shared" si="1"/>
        <v>1267.8260869565217</v>
      </c>
      <c r="F25" s="243">
        <f t="shared" si="2"/>
        <v>1458</v>
      </c>
    </row>
    <row r="26" spans="1:6" ht="20.25" customHeight="1" x14ac:dyDescent="0.35">
      <c r="A26" s="241" t="str">
        <f>'I Robe Set Combos'!A26</f>
        <v>I Robe 6A</v>
      </c>
      <c r="B26" s="243">
        <f t="shared" si="0"/>
        <v>1695.6521739130435</v>
      </c>
      <c r="C26" s="241">
        <f>'I Robe Set Combos'!D26</f>
        <v>1950</v>
      </c>
      <c r="D26" s="244">
        <v>0.1</v>
      </c>
      <c r="E26" s="243">
        <f t="shared" si="1"/>
        <v>1526.0869565217392</v>
      </c>
      <c r="F26" s="243">
        <f t="shared" si="2"/>
        <v>1755</v>
      </c>
    </row>
    <row r="27" spans="1:6" ht="20.25" customHeight="1" x14ac:dyDescent="0.35">
      <c r="A27" s="241" t="str">
        <f>'I Robe Set Combos'!A27</f>
        <v>I Robe 6B</v>
      </c>
      <c r="B27" s="243">
        <f t="shared" si="0"/>
        <v>1178.2608695652175</v>
      </c>
      <c r="C27" s="241">
        <f>'I Robe Set Combos'!D27</f>
        <v>1355</v>
      </c>
      <c r="D27" s="244">
        <v>0.1</v>
      </c>
      <c r="E27" s="243">
        <f t="shared" si="1"/>
        <v>1060.4347826086957</v>
      </c>
      <c r="F27" s="243">
        <f t="shared" si="2"/>
        <v>1219.5</v>
      </c>
    </row>
    <row r="28" spans="1:6" ht="20.25" customHeight="1" x14ac:dyDescent="0.35">
      <c r="A28" s="241" t="str">
        <f>'I Robe Set Combos'!A28</f>
        <v>I Robe 6C</v>
      </c>
      <c r="B28" s="243">
        <f t="shared" si="0"/>
        <v>1608.695652173913</v>
      </c>
      <c r="C28" s="241">
        <f>'I Robe Set Combos'!D28</f>
        <v>1850</v>
      </c>
      <c r="D28" s="244">
        <v>0.1</v>
      </c>
      <c r="E28" s="243">
        <f t="shared" si="1"/>
        <v>1447.8260869565217</v>
      </c>
      <c r="F28" s="243">
        <f t="shared" si="2"/>
        <v>1665</v>
      </c>
    </row>
    <row r="29" spans="1:6" ht="20.25" customHeight="1" x14ac:dyDescent="0.35">
      <c r="A29" s="241" t="str">
        <f>'I Robe Set Combos'!A29</f>
        <v>I Robe 6D</v>
      </c>
      <c r="B29" s="243">
        <f t="shared" si="0"/>
        <v>1152.1739130434783</v>
      </c>
      <c r="C29" s="241">
        <f>'I Robe Set Combos'!D29</f>
        <v>1325</v>
      </c>
      <c r="D29" s="244">
        <v>0.1</v>
      </c>
      <c r="E29" s="243">
        <f t="shared" si="1"/>
        <v>1036.9565217391305</v>
      </c>
      <c r="F29" s="243">
        <f t="shared" si="2"/>
        <v>1192.5</v>
      </c>
    </row>
    <row r="30" spans="1:6" ht="20.25" customHeight="1" x14ac:dyDescent="0.35">
      <c r="A30" s="241" t="str">
        <f>'I Robe Set Combos'!A30</f>
        <v>I Robe 7</v>
      </c>
      <c r="B30" s="243">
        <f t="shared" si="0"/>
        <v>908.695652173913</v>
      </c>
      <c r="C30" s="241">
        <f>'I Robe Set Combos'!D30</f>
        <v>1045</v>
      </c>
      <c r="D30" s="244">
        <v>0.1</v>
      </c>
      <c r="E30" s="243">
        <f t="shared" si="1"/>
        <v>817.82608695652175</v>
      </c>
      <c r="F30" s="243">
        <f t="shared" si="2"/>
        <v>940.5</v>
      </c>
    </row>
    <row r="31" spans="1:6" ht="20.25" customHeight="1" x14ac:dyDescent="0.35">
      <c r="A31" s="241" t="str">
        <f>'I Robe Set Combos'!A31</f>
        <v>I Robe 7A</v>
      </c>
      <c r="B31" s="243">
        <f t="shared" si="0"/>
        <v>1117.391304347826</v>
      </c>
      <c r="C31" s="241">
        <f>'I Robe Set Combos'!D31</f>
        <v>1285</v>
      </c>
      <c r="D31" s="244">
        <v>0.1</v>
      </c>
      <c r="E31" s="243">
        <f t="shared" si="1"/>
        <v>1005.6521739130434</v>
      </c>
      <c r="F31" s="243">
        <f t="shared" si="2"/>
        <v>1156.5</v>
      </c>
    </row>
    <row r="32" spans="1:6" ht="20.25" customHeight="1" x14ac:dyDescent="0.35">
      <c r="A32" s="241" t="str">
        <f>'I Robe Set Combos'!A32</f>
        <v>I Robe 7A 6Drw</v>
      </c>
      <c r="B32" s="243">
        <f t="shared" si="0"/>
        <v>1337.391304347826</v>
      </c>
      <c r="C32" s="241">
        <f>'I Robe Set Combos'!D32</f>
        <v>1538</v>
      </c>
      <c r="D32" s="244">
        <v>0.1</v>
      </c>
      <c r="E32" s="243">
        <f t="shared" si="1"/>
        <v>1203.6521739130435</v>
      </c>
      <c r="F32" s="243">
        <f t="shared" si="2"/>
        <v>1384.2</v>
      </c>
    </row>
    <row r="33" spans="1:6" ht="20.25" customHeight="1" x14ac:dyDescent="0.35">
      <c r="A33" s="241" t="str">
        <f>'I Robe Set Combos'!A33</f>
        <v>I Robe 7B</v>
      </c>
      <c r="B33" s="243">
        <f t="shared" si="0"/>
        <v>1337.391304347826</v>
      </c>
      <c r="C33" s="241">
        <f>'I Robe Set Combos'!D33</f>
        <v>1538</v>
      </c>
      <c r="D33" s="244">
        <v>0.1</v>
      </c>
      <c r="E33" s="243">
        <f t="shared" si="1"/>
        <v>1203.6521739130435</v>
      </c>
      <c r="F33" s="243">
        <f t="shared" si="2"/>
        <v>1384.2</v>
      </c>
    </row>
    <row r="34" spans="1:6" ht="20.25" customHeight="1" x14ac:dyDescent="0.35">
      <c r="A34" s="241" t="str">
        <f>'I Robe Set Combos'!A34</f>
        <v>I Robe 8</v>
      </c>
      <c r="B34" s="243">
        <f t="shared" si="0"/>
        <v>1086.9565217391305</v>
      </c>
      <c r="C34" s="241">
        <f>'I Robe Set Combos'!D34</f>
        <v>1250</v>
      </c>
      <c r="D34" s="244">
        <v>0.1</v>
      </c>
      <c r="E34" s="243">
        <f t="shared" si="1"/>
        <v>978.26086956521749</v>
      </c>
      <c r="F34" s="243">
        <f t="shared" si="2"/>
        <v>1125</v>
      </c>
    </row>
    <row r="35" spans="1:6" ht="20.25" customHeight="1" x14ac:dyDescent="0.35">
      <c r="A35" s="241" t="str">
        <f>'I Robe Set Combos'!A35</f>
        <v>I Robe 8A 6 Drws</v>
      </c>
      <c r="B35" s="243">
        <f t="shared" si="0"/>
        <v>1304.3478260869565</v>
      </c>
      <c r="C35" s="241">
        <f>'I Robe Set Combos'!D35</f>
        <v>1500</v>
      </c>
      <c r="D35" s="244">
        <v>0.1</v>
      </c>
      <c r="E35" s="243">
        <f t="shared" si="1"/>
        <v>1173.913043478261</v>
      </c>
      <c r="F35" s="243">
        <f t="shared" si="2"/>
        <v>1350.0000000000002</v>
      </c>
    </row>
    <row r="36" spans="1:6" ht="20.25" customHeight="1" x14ac:dyDescent="0.35">
      <c r="A36" s="241" t="str">
        <f>'I Robe Set Combos'!A36</f>
        <v>I Robe 8B</v>
      </c>
      <c r="B36" s="243">
        <f t="shared" si="0"/>
        <v>826.08695652173913</v>
      </c>
      <c r="C36" s="241">
        <f>'I Robe Set Combos'!D36</f>
        <v>950</v>
      </c>
      <c r="D36" s="244">
        <v>0.1</v>
      </c>
      <c r="E36" s="243">
        <f t="shared" si="1"/>
        <v>743.47826086956525</v>
      </c>
      <c r="F36" s="243">
        <f t="shared" si="2"/>
        <v>855</v>
      </c>
    </row>
    <row r="37" spans="1:6" ht="20.25" customHeight="1" x14ac:dyDescent="0.35">
      <c r="A37" s="245" t="str">
        <f>'I Robe Set Combos'!A37</f>
        <v>I Robe 8C</v>
      </c>
      <c r="B37" s="246">
        <f t="shared" si="0"/>
        <v>1039.1304347826087</v>
      </c>
      <c r="C37" s="245">
        <f>'I Robe Set Combos'!D37</f>
        <v>1195</v>
      </c>
      <c r="D37" s="247">
        <v>0.1</v>
      </c>
      <c r="E37" s="246">
        <f t="shared" si="1"/>
        <v>935.21739130434787</v>
      </c>
      <c r="F37" s="246">
        <f t="shared" si="2"/>
        <v>1075.5</v>
      </c>
    </row>
    <row r="38" spans="1:6" ht="20.25" customHeight="1" x14ac:dyDescent="0.35">
      <c r="A38" s="241" t="s">
        <v>310</v>
      </c>
      <c r="B38" s="241"/>
      <c r="C38" s="241"/>
      <c r="D38" s="244">
        <v>0.1</v>
      </c>
      <c r="E38" s="241"/>
      <c r="F38" s="241"/>
    </row>
    <row r="41" spans="1:6" x14ac:dyDescent="0.35">
      <c r="A41" s="248" t="s">
        <v>311</v>
      </c>
      <c r="B41" s="241"/>
      <c r="C41" s="242" t="s">
        <v>312</v>
      </c>
      <c r="D41" s="242" t="s">
        <v>313</v>
      </c>
    </row>
    <row r="42" spans="1:6" x14ac:dyDescent="0.35">
      <c r="A42" s="241" t="s">
        <v>195</v>
      </c>
      <c r="B42" s="241" t="str">
        <f>'Linen Slatting'!A16</f>
        <v xml:space="preserve">Up to 800 </v>
      </c>
      <c r="C42" s="243">
        <f>D42-(D42*3/23)</f>
        <v>60.869565217391305</v>
      </c>
      <c r="D42" s="243">
        <f>'Linen Slatting'!C16</f>
        <v>70</v>
      </c>
    </row>
    <row r="43" spans="1:6" x14ac:dyDescent="0.35">
      <c r="A43" s="241" t="s">
        <v>195</v>
      </c>
      <c r="B43" s="241" t="str">
        <f>'Linen Slatting'!A17</f>
        <v xml:space="preserve">800 to 1.2m </v>
      </c>
      <c r="C43" s="243">
        <f t="shared" ref="C43:C50" si="3">D43-(D43*3/23)</f>
        <v>73.913043478260875</v>
      </c>
      <c r="D43" s="243">
        <f>'Linen Slatting'!C17</f>
        <v>85</v>
      </c>
    </row>
    <row r="44" spans="1:6" x14ac:dyDescent="0.35">
      <c r="A44" s="241" t="s">
        <v>314</v>
      </c>
      <c r="B44" s="241">
        <v>800</v>
      </c>
      <c r="C44" s="243">
        <f t="shared" si="3"/>
        <v>52.173913043478258</v>
      </c>
      <c r="D44" s="243">
        <f>'Linen Slatting'!C25</f>
        <v>60</v>
      </c>
    </row>
    <row r="45" spans="1:6" x14ac:dyDescent="0.35">
      <c r="A45" s="241" t="s">
        <v>314</v>
      </c>
      <c r="B45" s="241">
        <v>1200</v>
      </c>
      <c r="C45" s="243">
        <f t="shared" si="3"/>
        <v>69.565217391304344</v>
      </c>
      <c r="D45" s="243">
        <f>'Linen Slatting'!C26</f>
        <v>80</v>
      </c>
    </row>
    <row r="46" spans="1:6" x14ac:dyDescent="0.35">
      <c r="A46" s="241" t="s">
        <v>315</v>
      </c>
      <c r="B46" s="241"/>
      <c r="C46" s="243">
        <f t="shared" si="3"/>
        <v>73.913043478260875</v>
      </c>
      <c r="D46" s="243">
        <f>'Linen Slatting'!C27</f>
        <v>85</v>
      </c>
    </row>
    <row r="47" spans="1:6" x14ac:dyDescent="0.35">
      <c r="A47" s="248" t="s">
        <v>316</v>
      </c>
      <c r="B47" s="241"/>
      <c r="C47" s="243"/>
      <c r="D47" s="241"/>
    </row>
    <row r="48" spans="1:6" x14ac:dyDescent="0.35">
      <c r="A48" s="241" t="str">
        <f>Accessories!D14</f>
        <v>I Robe Shoe rack</v>
      </c>
      <c r="B48" s="241"/>
      <c r="C48" s="243">
        <f t="shared" si="3"/>
        <v>108.69565217391305</v>
      </c>
      <c r="D48" s="249">
        <f>Accessories!G14</f>
        <v>125</v>
      </c>
    </row>
    <row r="49" spans="1:4" x14ac:dyDescent="0.35">
      <c r="A49" s="241" t="str">
        <f>Accessories!D21</f>
        <v>Pull out mirror</v>
      </c>
      <c r="B49" s="241" t="s">
        <v>317</v>
      </c>
      <c r="C49" s="243">
        <f t="shared" si="3"/>
        <v>200</v>
      </c>
      <c r="D49" s="249">
        <f>Accessories!G21</f>
        <v>230</v>
      </c>
    </row>
    <row r="50" spans="1:4" x14ac:dyDescent="0.35">
      <c r="A50" s="245" t="str">
        <f>Accessories!D22</f>
        <v>Pull out mirror</v>
      </c>
      <c r="B50" s="245" t="s">
        <v>318</v>
      </c>
      <c r="C50" s="246">
        <f t="shared" si="3"/>
        <v>200</v>
      </c>
      <c r="D50" s="250">
        <f>Accessories!G22</f>
        <v>230</v>
      </c>
    </row>
    <row r="51" spans="1:4" ht="20.25" customHeight="1" x14ac:dyDescent="0.35">
      <c r="A51" s="282" t="s">
        <v>337</v>
      </c>
      <c r="B51" s="280" t="s">
        <v>306</v>
      </c>
      <c r="C51" s="280" t="s">
        <v>306</v>
      </c>
      <c r="D51" s="280" t="s">
        <v>306</v>
      </c>
    </row>
    <row r="52" spans="1:4" ht="34.5" customHeight="1" x14ac:dyDescent="0.35">
      <c r="A52" s="295" t="s">
        <v>338</v>
      </c>
      <c r="B52" s="274" t="s">
        <v>306</v>
      </c>
      <c r="C52" s="279">
        <v>391</v>
      </c>
      <c r="D52" s="291">
        <v>450</v>
      </c>
    </row>
    <row r="53" spans="1:4" ht="46.5" customHeight="1" x14ac:dyDescent="0.35">
      <c r="A53" s="295" t="s">
        <v>339</v>
      </c>
      <c r="B53" s="276" t="s">
        <v>306</v>
      </c>
      <c r="C53" s="292">
        <v>304.35000000000002</v>
      </c>
      <c r="D53" s="293">
        <v>350</v>
      </c>
    </row>
    <row r="54" spans="1:4" ht="48.5" x14ac:dyDescent="0.35">
      <c r="A54" s="295" t="s">
        <v>340</v>
      </c>
      <c r="B54" s="274" t="s">
        <v>306</v>
      </c>
      <c r="C54" s="274">
        <v>173.91</v>
      </c>
      <c r="D54" s="294">
        <v>200</v>
      </c>
    </row>
    <row r="55" spans="1:4" ht="48.5" x14ac:dyDescent="0.35">
      <c r="A55" s="295" t="s">
        <v>341</v>
      </c>
      <c r="B55" s="274" t="s">
        <v>306</v>
      </c>
      <c r="C55" s="274">
        <v>391</v>
      </c>
      <c r="D55" s="294">
        <v>450</v>
      </c>
    </row>
    <row r="56" spans="1:4" ht="24.5" x14ac:dyDescent="0.35">
      <c r="A56" s="295" t="s">
        <v>342</v>
      </c>
      <c r="B56" s="274" t="s">
        <v>306</v>
      </c>
      <c r="C56" s="274">
        <v>260.87</v>
      </c>
      <c r="D56" s="294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9F0E-9781-4BF4-81F0-EC95059468CA}">
  <dimension ref="A1:G23"/>
  <sheetViews>
    <sheetView topLeftCell="B1" workbookViewId="0">
      <selection activeCell="G18" sqref="G18"/>
    </sheetView>
  </sheetViews>
  <sheetFormatPr defaultRowHeight="14.5" x14ac:dyDescent="0.35"/>
  <cols>
    <col min="1" max="1" width="4.1796875" customWidth="1"/>
    <col min="2" max="2" width="22.81640625" customWidth="1"/>
    <col min="3" max="3" width="12.54296875" customWidth="1"/>
    <col min="4" max="4" width="21.54296875" customWidth="1"/>
    <col min="7" max="7" width="45.54296875" customWidth="1"/>
  </cols>
  <sheetData>
    <row r="1" spans="1:7" x14ac:dyDescent="0.35">
      <c r="A1" s="203"/>
      <c r="B1" s="204" t="s">
        <v>343</v>
      </c>
      <c r="C1" s="204"/>
      <c r="D1" s="203"/>
      <c r="E1" s="203"/>
      <c r="F1" s="203"/>
      <c r="G1" s="203"/>
    </row>
    <row r="2" spans="1:7" x14ac:dyDescent="0.35">
      <c r="A2" s="203"/>
      <c r="B2" s="204" t="s">
        <v>344</v>
      </c>
      <c r="C2" s="204" t="s">
        <v>345</v>
      </c>
      <c r="D2" s="204" t="s">
        <v>346</v>
      </c>
      <c r="E2" s="204" t="s">
        <v>291</v>
      </c>
      <c r="F2" s="204" t="s">
        <v>9</v>
      </c>
      <c r="G2" s="204" t="s">
        <v>347</v>
      </c>
    </row>
    <row r="3" spans="1:7" ht="17.149999999999999" customHeight="1" x14ac:dyDescent="0.35">
      <c r="A3" s="203"/>
      <c r="B3" s="203" t="s">
        <v>348</v>
      </c>
      <c r="C3" s="203" t="s">
        <v>349</v>
      </c>
      <c r="D3" s="203" t="s">
        <v>350</v>
      </c>
      <c r="E3" s="205" t="s">
        <v>351</v>
      </c>
      <c r="F3" s="205" t="s">
        <v>351</v>
      </c>
      <c r="G3" s="206" t="s">
        <v>352</v>
      </c>
    </row>
    <row r="4" spans="1:7" ht="42" customHeight="1" x14ac:dyDescent="0.35">
      <c r="A4" s="203"/>
      <c r="B4" s="203" t="s">
        <v>353</v>
      </c>
      <c r="C4" s="203" t="s">
        <v>349</v>
      </c>
      <c r="D4" s="203" t="s">
        <v>354</v>
      </c>
      <c r="E4" s="205" t="s">
        <v>351</v>
      </c>
      <c r="F4" s="207" t="s">
        <v>351</v>
      </c>
      <c r="G4" s="206" t="s">
        <v>355</v>
      </c>
    </row>
    <row r="5" spans="1:7" ht="31.5" customHeight="1" x14ac:dyDescent="0.35">
      <c r="A5" s="203"/>
      <c r="B5" s="203" t="s">
        <v>356</v>
      </c>
      <c r="C5" s="203" t="s">
        <v>349</v>
      </c>
      <c r="D5" s="203" t="s">
        <v>354</v>
      </c>
      <c r="E5" s="205" t="s">
        <v>351</v>
      </c>
      <c r="F5" s="205" t="s">
        <v>351</v>
      </c>
      <c r="G5" s="206" t="s">
        <v>355</v>
      </c>
    </row>
    <row r="6" spans="1:7" ht="35.25" customHeight="1" x14ac:dyDescent="0.35">
      <c r="A6" s="203"/>
      <c r="B6" s="203" t="s">
        <v>357</v>
      </c>
      <c r="C6" s="203" t="s">
        <v>349</v>
      </c>
      <c r="D6" s="203" t="s">
        <v>350</v>
      </c>
      <c r="E6" s="205" t="s">
        <v>351</v>
      </c>
      <c r="F6" s="205" t="s">
        <v>351</v>
      </c>
      <c r="G6" s="206" t="s">
        <v>352</v>
      </c>
    </row>
    <row r="7" spans="1:7" ht="31.5" customHeight="1" x14ac:dyDescent="0.35">
      <c r="A7" s="203"/>
      <c r="B7" s="203" t="s">
        <v>358</v>
      </c>
      <c r="C7" s="203" t="s">
        <v>349</v>
      </c>
      <c r="D7" s="203" t="s">
        <v>350</v>
      </c>
      <c r="E7" s="205" t="s">
        <v>351</v>
      </c>
      <c r="F7" s="205" t="s">
        <v>351</v>
      </c>
      <c r="G7" s="206" t="s">
        <v>359</v>
      </c>
    </row>
    <row r="8" spans="1:7" ht="17.149999999999999" customHeight="1" x14ac:dyDescent="0.35">
      <c r="A8" s="203"/>
      <c r="B8" s="203" t="s">
        <v>360</v>
      </c>
      <c r="C8" s="203" t="s">
        <v>349</v>
      </c>
      <c r="D8" s="203" t="s">
        <v>351</v>
      </c>
      <c r="E8" s="207" t="s">
        <v>351</v>
      </c>
      <c r="F8" s="207">
        <v>0.1</v>
      </c>
      <c r="G8" s="206"/>
    </row>
    <row r="9" spans="1:7" ht="27.75" customHeight="1" x14ac:dyDescent="0.35">
      <c r="A9" s="203"/>
      <c r="B9" s="203" t="s">
        <v>361</v>
      </c>
      <c r="C9" s="203" t="s">
        <v>349</v>
      </c>
      <c r="D9" s="203" t="s">
        <v>354</v>
      </c>
      <c r="E9" s="205" t="s">
        <v>351</v>
      </c>
      <c r="F9" s="205" t="s">
        <v>351</v>
      </c>
      <c r="G9" s="206" t="s">
        <v>355</v>
      </c>
    </row>
    <row r="10" spans="1:7" ht="26.15" customHeight="1" x14ac:dyDescent="0.35">
      <c r="A10" s="203"/>
      <c r="B10" s="203" t="s">
        <v>362</v>
      </c>
      <c r="C10" s="203" t="s">
        <v>349</v>
      </c>
      <c r="D10" s="203" t="s">
        <v>350</v>
      </c>
      <c r="E10" s="203" t="s">
        <v>363</v>
      </c>
      <c r="F10" s="209" t="s">
        <v>363</v>
      </c>
      <c r="G10" s="208" t="s">
        <v>364</v>
      </c>
    </row>
    <row r="11" spans="1:7" ht="32.15" customHeight="1" x14ac:dyDescent="0.35">
      <c r="A11" s="203"/>
      <c r="B11" s="203" t="s">
        <v>365</v>
      </c>
      <c r="C11" s="203" t="s">
        <v>349</v>
      </c>
      <c r="D11" s="203" t="s">
        <v>350</v>
      </c>
      <c r="E11" s="203" t="s">
        <v>363</v>
      </c>
      <c r="F11" s="209" t="s">
        <v>363</v>
      </c>
      <c r="G11" s="208" t="s">
        <v>364</v>
      </c>
    </row>
    <row r="12" spans="1:7" ht="17.149999999999999" customHeight="1" x14ac:dyDescent="0.35">
      <c r="A12" s="203"/>
      <c r="B12" s="203" t="s">
        <v>366</v>
      </c>
      <c r="C12" s="203" t="s">
        <v>349</v>
      </c>
      <c r="D12" s="203" t="s">
        <v>367</v>
      </c>
      <c r="E12" s="203" t="s">
        <v>368</v>
      </c>
      <c r="F12" s="209" t="s">
        <v>368</v>
      </c>
      <c r="G12" s="206" t="s">
        <v>364</v>
      </c>
    </row>
    <row r="13" spans="1:7" ht="17.149999999999999" customHeight="1" x14ac:dyDescent="0.35">
      <c r="A13" s="203"/>
      <c r="B13" s="203" t="s">
        <v>369</v>
      </c>
      <c r="C13" s="203" t="s">
        <v>349</v>
      </c>
      <c r="D13" s="203" t="s">
        <v>370</v>
      </c>
      <c r="E13" s="203" t="s">
        <v>351</v>
      </c>
      <c r="F13" s="210">
        <v>0.1</v>
      </c>
      <c r="G13" s="206"/>
    </row>
    <row r="14" spans="1:7" ht="17.149999999999999" customHeight="1" x14ac:dyDescent="0.35">
      <c r="A14" s="203"/>
      <c r="B14" s="203" t="s">
        <v>371</v>
      </c>
      <c r="C14" s="203" t="s">
        <v>349</v>
      </c>
      <c r="D14" s="203" t="s">
        <v>370</v>
      </c>
      <c r="E14" s="203" t="s">
        <v>351</v>
      </c>
      <c r="F14" s="209" t="s">
        <v>351</v>
      </c>
      <c r="G14" s="206"/>
    </row>
    <row r="15" spans="1:7" ht="17.149999999999999" customHeight="1" x14ac:dyDescent="0.35">
      <c r="A15" s="203"/>
      <c r="B15" s="203" t="s">
        <v>372</v>
      </c>
      <c r="C15" s="203" t="s">
        <v>349</v>
      </c>
      <c r="D15" s="203" t="s">
        <v>351</v>
      </c>
      <c r="E15" s="203" t="s">
        <v>351</v>
      </c>
      <c r="F15" s="209" t="s">
        <v>351</v>
      </c>
      <c r="G15" s="206"/>
    </row>
    <row r="16" spans="1:7" ht="24.75" customHeight="1" x14ac:dyDescent="0.35">
      <c r="A16" s="288"/>
      <c r="B16" s="288" t="s">
        <v>373</v>
      </c>
      <c r="C16" s="288" t="s">
        <v>349</v>
      </c>
      <c r="D16" s="288" t="s">
        <v>354</v>
      </c>
      <c r="E16" s="288" t="s">
        <v>351</v>
      </c>
      <c r="F16" s="289" t="s">
        <v>351</v>
      </c>
      <c r="G16" s="290" t="s">
        <v>355</v>
      </c>
    </row>
    <row r="17" spans="1:7" ht="20.25" customHeight="1" x14ac:dyDescent="0.35">
      <c r="A17" s="241"/>
      <c r="B17" s="285" t="s">
        <v>374</v>
      </c>
      <c r="C17" s="285" t="s">
        <v>375</v>
      </c>
      <c r="D17" s="285" t="s">
        <v>351</v>
      </c>
      <c r="E17" s="285"/>
      <c r="F17" s="286">
        <v>0.1</v>
      </c>
      <c r="G17" s="285"/>
    </row>
    <row r="18" spans="1:7" ht="29.25" customHeight="1" x14ac:dyDescent="0.35">
      <c r="A18" s="241"/>
      <c r="B18" s="285" t="s">
        <v>376</v>
      </c>
      <c r="C18" s="285" t="s">
        <v>375</v>
      </c>
      <c r="D18" s="285"/>
      <c r="E18" s="285"/>
      <c r="F18" s="285"/>
      <c r="G18" s="287" t="s">
        <v>355</v>
      </c>
    </row>
    <row r="19" spans="1:7" ht="20.25" customHeight="1" x14ac:dyDescent="0.35">
      <c r="A19" s="241"/>
      <c r="B19" s="285" t="s">
        <v>377</v>
      </c>
      <c r="C19" s="285" t="s">
        <v>375</v>
      </c>
      <c r="D19" s="285"/>
      <c r="E19" s="285"/>
      <c r="F19" s="286">
        <v>0.1</v>
      </c>
      <c r="G19" s="285"/>
    </row>
    <row r="20" spans="1:7" ht="20.25" customHeight="1" x14ac:dyDescent="0.35">
      <c r="A20" s="241"/>
      <c r="B20" s="285" t="s">
        <v>378</v>
      </c>
      <c r="C20" s="285" t="s">
        <v>349</v>
      </c>
      <c r="D20" s="285"/>
      <c r="E20" s="285"/>
      <c r="F20" s="286">
        <v>0.1</v>
      </c>
      <c r="G20" s="285"/>
    </row>
    <row r="21" spans="1:7" ht="20.25" customHeight="1" x14ac:dyDescent="0.35"/>
    <row r="22" spans="1:7" ht="20.25" customHeight="1" x14ac:dyDescent="0.35"/>
    <row r="23" spans="1:7" ht="20.25" customHeight="1" x14ac:dyDescent="0.35"/>
  </sheetData>
  <phoneticPr fontId="32" type="noConversion"/>
  <pageMargins left="0.7" right="0.7" top="0.75" bottom="0.75" header="0.3" footer="0.3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5F054-F084-40D3-B471-CF3B95857305}">
  <dimension ref="A2:A9"/>
  <sheetViews>
    <sheetView workbookViewId="0">
      <selection activeCell="A9" sqref="A9"/>
    </sheetView>
  </sheetViews>
  <sheetFormatPr defaultRowHeight="14.5" x14ac:dyDescent="0.35"/>
  <sheetData>
    <row r="2" spans="1:1" x14ac:dyDescent="0.35">
      <c r="A2" s="11" t="s">
        <v>379</v>
      </c>
    </row>
    <row r="4" spans="1:1" x14ac:dyDescent="0.35">
      <c r="A4" s="11" t="s">
        <v>380</v>
      </c>
    </row>
    <row r="5" spans="1:1" x14ac:dyDescent="0.35">
      <c r="A5" t="s">
        <v>381</v>
      </c>
    </row>
    <row r="6" spans="1:1" x14ac:dyDescent="0.35">
      <c r="A6" t="s">
        <v>382</v>
      </c>
    </row>
    <row r="8" spans="1:1" x14ac:dyDescent="0.35">
      <c r="A8" s="11" t="s">
        <v>383</v>
      </c>
    </row>
    <row r="9" spans="1:1" x14ac:dyDescent="0.35">
      <c r="A9" t="s">
        <v>384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9"/>
  <sheetViews>
    <sheetView workbookViewId="0">
      <selection activeCell="B4" sqref="B4"/>
    </sheetView>
  </sheetViews>
  <sheetFormatPr defaultRowHeight="14.5" x14ac:dyDescent="0.35"/>
  <cols>
    <col min="1" max="1" width="21.54296875" customWidth="1"/>
    <col min="2" max="2" width="57" customWidth="1"/>
  </cols>
  <sheetData>
    <row r="1" spans="1:2" ht="27.75" customHeight="1" x14ac:dyDescent="0.35"/>
    <row r="2" spans="1:2" s="21" customFormat="1" ht="46.5" customHeight="1" x14ac:dyDescent="0.35">
      <c r="A2" s="91" t="s">
        <v>385</v>
      </c>
      <c r="B2" s="90" t="e">
        <f>#REF!</f>
        <v>#REF!</v>
      </c>
    </row>
    <row r="3" spans="1:2" ht="40.4" customHeight="1" x14ac:dyDescent="0.35">
      <c r="A3" s="91" t="s">
        <v>386</v>
      </c>
      <c r="B3" s="90" t="e">
        <f>#REF!</f>
        <v>#REF!</v>
      </c>
    </row>
    <row r="4" spans="1:2" ht="40.4" customHeight="1" x14ac:dyDescent="0.35">
      <c r="A4" s="91" t="s">
        <v>40</v>
      </c>
      <c r="B4" s="90" t="e">
        <f>#REF!</f>
        <v>#REF!</v>
      </c>
    </row>
    <row r="5" spans="1:2" ht="40.4" customHeight="1" x14ac:dyDescent="0.35">
      <c r="A5" s="91" t="s">
        <v>387</v>
      </c>
      <c r="B5" s="90"/>
    </row>
    <row r="13" spans="1:2" ht="49.5" customHeight="1" x14ac:dyDescent="0.35"/>
    <row r="14" spans="1:2" s="21" customFormat="1" ht="47.25" customHeight="1" x14ac:dyDescent="0.35">
      <c r="B14" s="22" t="e">
        <f>'Print Out'!B2</f>
        <v>#REF!</v>
      </c>
    </row>
    <row r="15" spans="1:2" ht="40.4" customHeight="1" x14ac:dyDescent="0.35">
      <c r="B15" s="22" t="e">
        <f>'Print Out'!B3</f>
        <v>#REF!</v>
      </c>
    </row>
    <row r="16" spans="1:2" ht="40.4" customHeight="1" x14ac:dyDescent="0.35">
      <c r="B16" s="22" t="e">
        <f>'Print Out'!B4</f>
        <v>#REF!</v>
      </c>
    </row>
    <row r="17" spans="2:2" ht="40.4" customHeight="1" x14ac:dyDescent="0.35">
      <c r="B17" s="22" t="e">
        <f>'Print Out'!#REF!</f>
        <v>#REF!</v>
      </c>
    </row>
    <row r="18" spans="2:2" ht="40.4" customHeight="1" x14ac:dyDescent="0.35">
      <c r="B18" s="22" t="e">
        <f>'Print Out'!#REF!</f>
        <v>#REF!</v>
      </c>
    </row>
    <row r="19" spans="2:2" ht="40.4" customHeight="1" x14ac:dyDescent="0.35">
      <c r="B19" s="22" t="s">
        <v>388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3A909-225F-42FA-8459-E98BC2B594FC}">
  <dimension ref="A1:A11"/>
  <sheetViews>
    <sheetView workbookViewId="0">
      <selection activeCell="A11" sqref="A11"/>
    </sheetView>
  </sheetViews>
  <sheetFormatPr defaultRowHeight="14.5" x14ac:dyDescent="0.35"/>
  <cols>
    <col min="1" max="1" width="75.81640625" customWidth="1"/>
  </cols>
  <sheetData>
    <row r="1" spans="1:1" ht="45" customHeight="1" x14ac:dyDescent="0.35">
      <c r="A1" s="93" t="e">
        <f>#REF!</f>
        <v>#REF!</v>
      </c>
    </row>
    <row r="2" spans="1:1" ht="39.75" customHeight="1" x14ac:dyDescent="0.35">
      <c r="A2" s="93" t="e">
        <f>#REF!</f>
        <v>#REF!</v>
      </c>
    </row>
    <row r="3" spans="1:1" ht="41.25" customHeight="1" x14ac:dyDescent="0.35">
      <c r="A3" s="93" t="e">
        <f>#REF!</f>
        <v>#REF!</v>
      </c>
    </row>
    <row r="4" spans="1:1" ht="35.25" customHeight="1" x14ac:dyDescent="0.35">
      <c r="A4" s="94" t="e">
        <f>#REF!</f>
        <v>#REF!</v>
      </c>
    </row>
    <row r="5" spans="1:1" ht="36.75" customHeight="1" x14ac:dyDescent="0.8">
      <c r="A5" s="92" t="s">
        <v>389</v>
      </c>
    </row>
    <row r="6" spans="1:1" ht="228.75" customHeight="1" x14ac:dyDescent="0.8">
      <c r="A6" s="92"/>
    </row>
    <row r="7" spans="1:1" ht="45" customHeight="1" x14ac:dyDescent="0.35">
      <c r="A7" s="93" t="e">
        <f>A1</f>
        <v>#REF!</v>
      </c>
    </row>
    <row r="8" spans="1:1" ht="39.75" customHeight="1" x14ac:dyDescent="0.35">
      <c r="A8" s="93" t="e">
        <f t="shared" ref="A8:A11" si="0">A2</f>
        <v>#REF!</v>
      </c>
    </row>
    <row r="9" spans="1:1" ht="41.25" customHeight="1" x14ac:dyDescent="0.35">
      <c r="A9" s="93" t="e">
        <f t="shared" si="0"/>
        <v>#REF!</v>
      </c>
    </row>
    <row r="10" spans="1:1" ht="35.25" customHeight="1" x14ac:dyDescent="0.35">
      <c r="A10" s="93" t="e">
        <f t="shared" si="0"/>
        <v>#REF!</v>
      </c>
    </row>
    <row r="11" spans="1:1" ht="36.75" customHeight="1" x14ac:dyDescent="0.35">
      <c r="A11" s="93" t="str">
        <f t="shared" si="0"/>
        <v>Package Number:      of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EC94DD7347C441991666D9D15913FE" ma:contentTypeVersion="15" ma:contentTypeDescription="Create a new document." ma:contentTypeScope="" ma:versionID="1fa54736ee8ab2532264f8934d491039">
  <xsd:schema xmlns:xsd="http://www.w3.org/2001/XMLSchema" xmlns:xs="http://www.w3.org/2001/XMLSchema" xmlns:p="http://schemas.microsoft.com/office/2006/metadata/properties" xmlns:ns2="f595a857-95f4-4145-b8d1-f79e44573f03" xmlns:ns3="ecc6a099-1e56-4dfe-8256-c5b9ef18dd4c" targetNamespace="http://schemas.microsoft.com/office/2006/metadata/properties" ma:root="true" ma:fieldsID="18c9b074e8f427e71ab9ff328400cd67" ns2:_="" ns3:_="">
    <xsd:import namespace="f595a857-95f4-4145-b8d1-f79e44573f03"/>
    <xsd:import namespace="ecc6a099-1e56-4dfe-8256-c5b9ef18dd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5a857-95f4-4145-b8d1-f79e44573f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63e4b1e-2fc3-4ccf-b34d-ba67067294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c6a099-1e56-4dfe-8256-c5b9ef18dd4c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345b55b5-b12c-4180-b0ee-313390ae5e04}" ma:internalName="TaxCatchAll" ma:showField="CatchAllData" ma:web="ecc6a099-1e56-4dfe-8256-c5b9ef18dd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c6a099-1e56-4dfe-8256-c5b9ef18dd4c" xsi:nil="true"/>
    <lcf76f155ced4ddcb4097134ff3c332f xmlns="f595a857-95f4-4145-b8d1-f79e44573f0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36DC949-D089-42D6-943C-0A40580CF8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95a857-95f4-4145-b8d1-f79e44573f03"/>
    <ds:schemaRef ds:uri="ecc6a099-1e56-4dfe-8256-c5b9ef18dd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8C1C26A-2BF2-4629-8327-702404F7D0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63CD85-786E-4DF1-BE5F-E3526F92D15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CBEE04B-CB75-4715-9D60-78D59A3F5121}">
  <ds:schemaRefs>
    <ds:schemaRef ds:uri="ecc6a099-1e56-4dfe-8256-c5b9ef18dd4c"/>
    <ds:schemaRef ds:uri="f595a857-95f4-4145-b8d1-f79e44573f03"/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Job Details Install</vt:lpstr>
      <vt:lpstr>Dispatch Slip</vt:lpstr>
      <vt:lpstr>Install </vt:lpstr>
      <vt:lpstr>iRobe WIR</vt:lpstr>
      <vt:lpstr>I Robe Set Combos</vt:lpstr>
      <vt:lpstr>iRobe PickSheet</vt:lpstr>
      <vt:lpstr>i-Robe Shipping</vt:lpstr>
      <vt:lpstr>IR Premium</vt:lpstr>
      <vt:lpstr>I Robe Flexi</vt:lpstr>
      <vt:lpstr>Cabinet System</vt:lpstr>
      <vt:lpstr>Linen Slatting</vt:lpstr>
      <vt:lpstr>Sliding Doors</vt:lpstr>
      <vt:lpstr>Accessories</vt:lpstr>
      <vt:lpstr>Quote Totals</vt:lpstr>
      <vt:lpstr>Fletcher Doors</vt:lpstr>
      <vt:lpstr>Fletcher IR</vt:lpstr>
      <vt:lpstr>G Land Doors</vt:lpstr>
      <vt:lpstr>G Land IR</vt:lpstr>
      <vt:lpstr>Company terms</vt:lpstr>
      <vt:lpstr>Rules</vt:lpstr>
      <vt:lpstr>Print Out</vt:lpstr>
      <vt:lpstr>Label</vt:lpstr>
      <vt:lpstr>'Cabinet System'!Print_Area</vt:lpstr>
      <vt:lpstr>'Dispatch Slip'!Print_Area</vt:lpstr>
      <vt:lpstr>'iRobe PickSheet'!Print_Area</vt:lpstr>
      <vt:lpstr>'Job Details Install'!Print_Area</vt:lpstr>
      <vt:lpstr>'Quote Totals'!Print_Area</vt:lpstr>
      <vt:lpstr>'Sliding Doors'!Print_Area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Alkez</dc:creator>
  <cp:keywords/>
  <dc:description/>
  <cp:lastModifiedBy>Corin McCrae</cp:lastModifiedBy>
  <cp:revision/>
  <cp:lastPrinted>2026-05-06T23:09:54Z</cp:lastPrinted>
  <dcterms:created xsi:type="dcterms:W3CDTF">2012-01-31T04:09:01Z</dcterms:created>
  <dcterms:modified xsi:type="dcterms:W3CDTF">2026-09-02T03:05:06Z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0x010100F5EC94DD7347C441991666D9D15913FE</vt:lpwstr>
  </property>
  <property fmtid="{D5CDD505-2E9C-101B-9397-08002B2CF9AE}" pid="3" name="MediaServiceImageTags">
    <vt:lpwstr/>
  </property>
</Properties>
</file>